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e80f1d0df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c97611beb044e71"/>
    <x:sheet xmlns:r="http://schemas.openxmlformats.org/officeDocument/2006/relationships" name="Work Breakdown" sheetId="2" r:id="Ra872ef60b304490d"/>
    <x:sheet xmlns:r="http://schemas.openxmlformats.org/officeDocument/2006/relationships" name="Timeline" sheetId="3" r:id="R2e39f9b8b1fb47a3"/>
    <x:sheet xmlns:r="http://schemas.openxmlformats.org/officeDocument/2006/relationships" name="RACI" sheetId="4" r:id="R39083a94567443f0"/>
    <x:sheet xmlns:r="http://schemas.openxmlformats.org/officeDocument/2006/relationships" name="Checklist" sheetId="5" r:id="Rcde7a64d6dfe4c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dd/mm/yyyy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2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1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9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691cef7c6b435d" /><Relationship Type="http://schemas.openxmlformats.org/officeDocument/2006/relationships/theme" Target="/xl/theme/theme1.xml" Id="Ra49dde84d4f24ab0" /><Relationship Type="http://schemas.openxmlformats.org/officeDocument/2006/relationships/sharedStrings" Target="/xl/sharedStrings.xml" Id="R9123013288854d02" /><Relationship Type="http://schemas.openxmlformats.org/officeDocument/2006/relationships/worksheet" Target="/xl/worksheets/sheet1.xml" Id="Rbc97611beb044e71" /><Relationship Type="http://schemas.openxmlformats.org/officeDocument/2006/relationships/worksheet" Target="/xl/worksheets/sheet2.xml" Id="Ra872ef60b304490d" /><Relationship Type="http://schemas.openxmlformats.org/officeDocument/2006/relationships/worksheet" Target="/xl/worksheets/sheet3.xml" Id="R2e39f9b8b1fb47a3" /><Relationship Type="http://schemas.openxmlformats.org/officeDocument/2006/relationships/worksheet" Target="/xl/worksheets/sheet4.xml" Id="R39083a94567443f0" /><Relationship Type="http://schemas.openxmlformats.org/officeDocument/2006/relationships/worksheet" Target="/xl/worksheets/sheet5.xml" Id="Rcde7a64d6dfe4c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28f0c17f734e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 Load by Member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Task Count</c:v>
          </c:tx>
          <c:cat>
            <c:strRef>
              <c:f>'Overview'!$A$6:$A$8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'Overview'!$F$6:$F$8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28f0c17f734e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ddae7bbb7154443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42" hidden="0" customWidth="1"/>
    <x:col min="4" max="4" width="28" hidden="0" customWidth="1"/>
    <x:col min="5" max="5" width="28" hidden="0" customWidth="1"/>
    <x:col min="6" max="6" width="12" hidden="0" customWidth="1"/>
    <x:col min="7" max="7" width="10" hidden="0" customWidth="1"/>
    <x:col min="8" max="8" width="14" hidden="0" customWidth="1"/>
  </x:cols>
  <x:sheetData>
    <x:row r="1">
      <x:c r="A1" s="5" t="str">
        <x:v>DWDSS – Team Assignment &amp; Execution Tracker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2" t="str">
        <x:v>Hotel Booking DWDSS | Deadline: 10/11/2026 | React + FastAPI + PostgreSQL + Python ETL/ML + Docker</x:v>
      </x:c>
      <x:c r="B3" s="12"/>
      <x:c r="C3" s="12"/>
      <x:c r="D3" s="12"/>
      <x:c r="E3" s="12"/>
      <x:c r="F3" s="12"/>
      <x:c r="G3" s="12"/>
      <x:c r="H3" s="12"/>
    </x:row>
    <x:row r="5" ht="38" customHeight="1">
      <x:c r="A5" s="26" t="str">
        <x:v>Member</x:v>
      </x:c>
      <x:c r="B5" s="26" t="str">
        <x:v>Primary Ownership</x:v>
      </x:c>
      <x:c r="C5" s="26" t="str">
        <x:v>Core Deliverables</x:v>
      </x:c>
      <x:c r="D5" s="26" t="str">
        <x:v>Secondary / Support</x:v>
      </x:c>
      <x:c r="E5" s="26" t="str">
        <x:v>Main Risk</x:v>
      </x:c>
      <x:c r="F5" s="26" t="str">
        <x:v>Task Count</x:v>
      </x:c>
      <x:c r="G5" s="26" t="str">
        <x:v>Done</x:v>
      </x:c>
      <x:c r="H5" s="26" t="str">
        <x:v>Avg Progress</x:v>
      </x:c>
    </x:row>
    <x:row r="6" ht="38" customHeight="1">
      <x:c r="A6" s="32" t="str">
        <x:v>Member 1 – Architecture / DW / Backend</x:v>
      </x:c>
      <x:c r="B6" s="27" t="str">
        <x:v>System design, DW/Mart, FastAPI, integration</x:v>
      </x:c>
      <x:c r="C6" s="27" t="str">
        <x:v>BR + architecture, DW schema, Mart design/SQL, API contracts, Docker Compose</x:v>
      </x:c>
      <x:c r="D6" s="27" t="str">
        <x:v>Review ETL contracts; support demo/report</x:v>
      </x:c>
      <x:c r="E6" s="27" t="str">
        <x:v>Becoming integration bottleneck</x:v>
      </x:c>
      <x:c r="F6" s="27" t="n">
        <x:f>COUNTIF('Work Breakdown'!$G$2:$G$200,A6)</x:f>
        <x:v>19</x:v>
      </x:c>
      <x:c r="G6" s="27" t="n">
        <x:f>COUNTIFS('Work Breakdown'!$G$2:$G$200,A6,'Work Breakdown'!$N$2:$N$200,"Done")</x:f>
        <x:v>0</x:v>
      </x:c>
      <x:c r="H6" s="28" t="n">
        <x:f>IFERROR(AVERAGEIF('Work Breakdown'!$G$2:$G$200,A6,'Work Breakdown'!$O$2:$O$200),0)</x:f>
        <x:v>0.05789473684210527</x:v>
      </x:c>
    </x:row>
    <x:row r="7" ht="38" customHeight="1">
      <x:c r="A7" s="32" t="str">
        <x:v>Member 2 – Data Engineering / BI</x:v>
      </x:c>
      <x:c r="B7" s="27" t="str">
        <x:v>Data sources, staging, ETL, quality, OLAP/reporting data</x:v>
      </x:c>
      <x:c r="C7" s="27" t="str">
        <x:v>Raw sources, staging, ETL #1/#2/#3, quality checks, OLAP SQL, report views</x:v>
      </x:c>
      <x:c r="D7" s="27" t="str">
        <x:v>Support backend repositories and KPI validation</x:v>
      </x:c>
      <x:c r="E7" s="27" t="str">
        <x:v>ETL scope grows with new sources</x:v>
      </x:c>
      <x:c r="F7" s="27" t="n">
        <x:f>COUNTIF('Work Breakdown'!$G$2:$G$200,A7)</x:f>
        <x:v>19</x:v>
      </x:c>
      <x:c r="G7" s="27" t="n">
        <x:f>COUNTIFS('Work Breakdown'!$G$2:$G$200,A7,'Work Breakdown'!$N$2:$N$200,"Done")</x:f>
        <x:v>0</x:v>
      </x:c>
      <x:c r="H7" s="28" t="n">
        <x:f>IFERROR(AVERAGEIF('Work Breakdown'!$G$2:$G$200,A7,'Work Breakdown'!$O$2:$O$200),0)</x:f>
        <x:v>0</x:v>
      </x:c>
    </x:row>
    <x:row r="8" ht="38" customHeight="1">
      <x:c r="A8" s="32" t="str">
        <x:v>Member 3 – Frontend / ML-DSS</x:v>
      </x:c>
      <x:c r="B8" s="27" t="str">
        <x:v>React dashboard, ML/DSS, visualization</x:v>
      </x:c>
      <x:c r="C8" s="27" t="str">
        <x:v>React UI, 3 prediction pipelines, DSS rules/pages, charts</x:v>
      </x:c>
      <x:c r="D8" s="27" t="str">
        <x:v>Support API response design and demo polish</x:v>
      </x:c>
      <x:c r="E8" s="27" t="str">
        <x:v>Frontend + 3 models may overload late phase</x:v>
      </x:c>
      <x:c r="F8" s="27" t="n">
        <x:f>COUNTIF('Work Breakdown'!$G$2:$G$200,A8)</x:f>
        <x:v>10</x:v>
      </x:c>
      <x:c r="G8" s="27" t="n">
        <x:f>COUNTIFS('Work Breakdown'!$G$2:$G$200,A8,'Work Breakdown'!$N$2:$N$200,"Done")</x:f>
        <x:v>0</x:v>
      </x:c>
      <x:c r="H8" s="28" t="n">
        <x:f>IFERROR(AVERAGEIF('Work Breakdown'!$G$2:$G$200,A8,'Work Breakdown'!$O$2:$O$200),0)</x:f>
        <x:v>0</x:v>
      </x:c>
    </x:row>
    <x:row r="10">
      <x:c r="A10" s="34" t="str">
        <x:v>Working Rules / Governance</x:v>
      </x:c>
      <x:c r="B10" s="34"/>
      <x:c r="C10" s="34"/>
      <x:c r="D10" s="34"/>
      <x:c r="E10" s="34"/>
      <x:c r="F10" s="34"/>
      <x:c r="G10" s="34"/>
      <x:c r="H10" s="34"/>
    </x:row>
    <x:row r="11">
      <x:c r="A11" s="37" t="str">
        <x:v>1</x:v>
      </x:c>
      <x:c r="B11" s="27" t="str">
        <x:v>Không merge code lớn nếu data contract/schema/API contract chưa review.</x:v>
      </x:c>
      <x:c r="D11" s="42" t="str">
        <x:v>Milestone</x:v>
      </x:c>
      <x:c r="E11" s="42" t="str">
        <x:v>Target</x:v>
      </x:c>
      <x:c r="F11" s="42" t="str">
        <x:v>Owner</x:v>
      </x:c>
      <x:c r="G11" s="42" t="str">
        <x:v>Gate</x:v>
      </x:c>
      <x:c r="H11" s="42" t="str">
        <x:v>Meaning</x:v>
      </x:c>
    </x:row>
    <x:row r="12">
      <x:c r="A12" s="37" t="str">
        <x:v>2</x:v>
      </x:c>
      <x:c r="B12" s="27" t="str">
        <x:v>Raw data bất biến; pipeline chính không sửa file source bằng tay.</x:v>
      </x:c>
      <x:c r="D12" s="27" t="str">
        <x:v>Design Baseline</x:v>
      </x:c>
      <x:c r="E12" s="43" t="n">
        <x:v>46302</x:v>
      </x:c>
      <x:c r="F12" s="27" t="str">
        <x:v>Member 1 – Architecture / DW / Backend</x:v>
      </x:c>
      <x:c r="G12" s="27" t="str">
        <x:v>DESIGN BASELINE</x:v>
      </x:c>
      <x:c r="H12" s="27" t="str">
        <x:v>BR + architecture + target + source plan</x:v>
      </x:c>
    </x:row>
    <x:row r="13">
      <x:c r="A13" s="37" t="str">
        <x:v>3</x:v>
      </x:c>
      <x:c r="B13" s="27" t="str">
        <x:v>Schema Freeze trước khi hoàn thiện dashboard/model chính thức.</x:v>
      </x:c>
      <x:c r="D13" s="27" t="str">
        <x:v>DW Ready</x:v>
      </x:c>
      <x:c r="E13" s="43" t="n">
        <x:v>46320</x:v>
      </x:c>
      <x:c r="F13" s="27" t="str">
        <x:v>Member 1 – Architecture / DW / Backend</x:v>
      </x:c>
      <x:c r="G13" s="27" t="str">
        <x:v>SCHEMA FREEZE</x:v>
      </x:c>
      <x:c r="H13" s="27" t="str">
        <x:v>Fact/Dim + ETL core validated</x:v>
      </x:c>
    </x:row>
    <x:row r="14">
      <x:c r="A14" s="37" t="str">
        <x:v>4</x:v>
      </x:c>
      <x:c r="B14" s="27" t="str">
        <x:v>Analytics KPI = Reporting KPI = SQL validation với cùng filter.</x:v>
      </x:c>
      <x:c r="D14" s="27" t="str">
        <x:v>Mart + OLAP Ready</x:v>
      </x:c>
      <x:c r="E14" s="43" t="n">
        <x:v>46324</x:v>
      </x:c>
      <x:c r="F14" s="27" t="str">
        <x:v>Member 2 – Data Engineering / BI</x:v>
      </x:c>
      <x:c r="G14" s="27" t="str">
        <x:v>MART READY</x:v>
      </x:c>
      <x:c r="H14" s="27" t="str">
        <x:v>Official marts + OLAP baseline</x:v>
      </x:c>
    </x:row>
    <x:row r="15">
      <x:c r="A15" s="37" t="str">
        <x:v>5</x:v>
      </x:c>
      <x:c r="B15" s="27" t="str">
        <x:v>ML dùng official Mart/feature dataset, không tự đọc raw khi pipeline đã tồn tại.</x:v>
      </x:c>
      <x:c r="D15" s="27" t="str">
        <x:v>Demo Feature Complete</x:v>
      </x:c>
      <x:c r="E15" s="43" t="n">
        <x:v>46331</x:v>
      </x:c>
      <x:c r="F15" s="27" t="str">
        <x:v>Member 3 – Frontend / ML-DSS</x:v>
      </x:c>
      <x:c r="G15" s="27" t="str">
        <x:v>FEATURE COMPLETE</x:v>
      </x:c>
      <x:c r="H15" s="27" t="str">
        <x:v>React + Reports + 3 DSS flows</x:v>
      </x:c>
    </x:row>
    <x:row r="16">
      <x:c r="A16" s="37" t="str">
        <x:v>6</x:v>
      </x:c>
      <x:c r="B16" s="27" t="str">
        <x:v>Mỗi task chỉ được Done khi deliverable + acceptance criteria đều đạt.</x:v>
      </x:c>
      <x:c r="D16" s="27" t="str">
        <x:v>Final</x:v>
      </x:c>
      <x:c r="E16" s="43" t="n">
        <x:v>46336</x:v>
      </x:c>
      <x:c r="F16" s="27" t="str">
        <x:v>All</x:v>
      </x:c>
      <x:c r="G16" s="27" t="str">
        <x:v>SUBMIT</x:v>
      </x:c>
      <x:c r="H16" s="27" t="str">
        <x:v>Stable integrated release</x:v>
      </x:c>
    </x:row>
  </x:sheetData>
  <x:mergeCells>
    <x:mergeCell ref="A1:H2"/>
    <x:mergeCell ref="A3:H3"/>
    <x:mergeCell ref="A10:H10"/>
  </x:mergeCells>
  <x:pageMargins left="0.7" right="0.7" top="0.75" bottom="0.75" header="0.3" footer="0.3"/>
  <x:drawing xmlns:r="http://schemas.openxmlformats.org/officeDocument/2006/relationships" r:id="R5ddae7bbb715444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4" hidden="0" customWidth="1"/>
    <x:col min="4" max="4" width="42" hidden="0" customWidth="1"/>
    <x:col min="5" max="5" width="10" hidden="0" customWidth="1"/>
    <x:col min="6" max="6" width="18" hidden="0" customWidth="1"/>
    <x:col min="7" max="7" width="31" hidden="0" customWidth="1"/>
    <x:col min="8" max="8" width="30" hidden="0" customWidth="1"/>
    <x:col min="9" max="9" width="14" hidden="0" customWidth="1"/>
    <x:col min="10" max="10" width="12" hidden="0" customWidth="1"/>
    <x:col min="11" max="11" width="12" hidden="0" customWidth="1"/>
    <x:col min="12" max="12" width="20" hidden="0" customWidth="1"/>
    <x:col min="13" max="13" width="35" hidden="0" customWidth="1"/>
    <x:col min="14" max="14" width="14" hidden="0" customWidth="1"/>
    <x:col min="15" max="15" width="11" hidden="0" customWidth="1"/>
    <x:col min="16" max="16" width="45" hidden="0" customWidth="1"/>
    <x:col min="17" max="17" width="25" hidden="0" customWidth="1"/>
  </x:cols>
  <x:sheetData>
    <x:row r="1" ht="30" customHeight="1">
      <x:c r="A1" s="49" t="str">
        <x:v>ID</x:v>
      </x:c>
      <x:c r="B1" s="49" t="str">
        <x:v>Phase</x:v>
      </x:c>
      <x:c r="C1" s="49" t="str">
        <x:v>Mart / Domain</x:v>
      </x:c>
      <x:c r="D1" s="49" t="str">
        <x:v>Task</x:v>
      </x:c>
      <x:c r="E1" s="49" t="str">
        <x:v>Level</x:v>
      </x:c>
      <x:c r="F1" s="49" t="str">
        <x:v>Workstream</x:v>
      </x:c>
      <x:c r="G1" s="49" t="str">
        <x:v>Primary Owner</x:v>
      </x:c>
      <x:c r="H1" s="49" t="str">
        <x:v>Support</x:v>
      </x:c>
      <x:c r="I1" s="49" t="str">
        <x:v>Priority</x:v>
      </x:c>
      <x:c r="J1" s="49" t="str">
        <x:v>Start</x:v>
      </x:c>
      <x:c r="K1" s="49" t="str">
        <x:v>Due</x:v>
      </x:c>
      <x:c r="L1" s="49" t="str">
        <x:v>Depends On</x:v>
      </x:c>
      <x:c r="M1" s="49" t="str">
        <x:v>Deliverable / Output</x:v>
      </x:c>
      <x:c r="N1" s="49" t="str">
        <x:v>Status</x:v>
      </x:c>
      <x:c r="O1" s="49" t="str">
        <x:v>Progress</x:v>
      </x:c>
      <x:c r="P1" s="49" t="str">
        <x:v>Acceptance Criteria / Checklist</x:v>
      </x:c>
      <x:c r="Q1" s="49" t="str">
        <x:v>Notes</x:v>
      </x:c>
    </x:row>
    <x:row r="2">
      <x:c r="A2" s="27" t="str">
        <x:v>DES-01</x:v>
      </x:c>
      <x:c r="B2" s="27" t="str">
        <x:v>Design</x:v>
      </x:c>
      <x:c r="C2" s="27" t="str">
        <x:v>Cross-domain</x:v>
      </x:c>
      <x:c r="D2" s="27" t="str">
        <x:v>Chốt business domains và Business Requirements</x:v>
      </x:c>
      <x:c r="E2" s="27" t="str">
        <x:v>High</x:v>
      </x:c>
      <x:c r="F2" s="27" t="str">
        <x:v>Architecture</x:v>
      </x:c>
      <x:c r="G2" s="27" t="str">
        <x:v>Member 1 – Architecture / DW / Backend</x:v>
      </x:c>
      <x:c r="H2" s="27" t="str">
        <x:v>Member 2 – Data Engineering / BI; Member 3 – Frontend / ML-DSS</x:v>
      </x:c>
      <x:c r="I2" s="27" t="str">
        <x:v>P0 – Critical</x:v>
      </x:c>
      <x:c r="J2" s="43" t="n">
        <x:v>46300</x:v>
      </x:c>
      <x:c r="K2" s="43" t="n">
        <x:v>46301</x:v>
      </x:c>
      <x:c r="L2" s="27" t="str"/>
      <x:c r="M2" s="27" t="str">
        <x:v>BR matrix theo Mart × Analytics/Reporting/Mining</x:v>
      </x:c>
      <x:c r="N2" s="27" t="str">
        <x:v>In Progress</x:v>
      </x:c>
      <x:c r="O2" s="28" t="n">
        <x:v>0.5</x:v>
      </x:c>
      <x:c r="P2" s="27" t="str">
        <x:v>4 Mart hợp lý; 3 DSS targets rõ; mỗi BR có output dự kiến</x:v>
      </x:c>
      <x:c r="Q2" s="27" t="str"/>
    </x:row>
    <x:row r="3">
      <x:c r="A3" s="27" t="str">
        <x:v>DES-02</x:v>
      </x:c>
      <x:c r="B3" s="27" t="str">
        <x:v>Design</x:v>
      </x:c>
      <x:c r="C3" s="27" t="str">
        <x:v>Cross-domain</x:v>
      </x:c>
      <x:c r="D3" s="27" t="str">
        <x:v>Chốt system architecture và technology stack</x:v>
      </x:c>
      <x:c r="E3" s="27" t="str">
        <x:v>High</x:v>
      </x:c>
      <x:c r="F3" s="27" t="str">
        <x:v>Architecture</x:v>
      </x:c>
      <x:c r="G3" s="27" t="str">
        <x:v>Member 1 – Architecture / DW / Backend</x:v>
      </x:c>
      <x:c r="H3" s="27" t="str">
        <x:v>Member 2 – Data Engineering / BI; Member 3 – Frontend / ML-DSS</x:v>
      </x:c>
      <x:c r="I3" s="27" t="str">
        <x:v>P0 – Critical</x:v>
      </x:c>
      <x:c r="J3" s="43" t="n">
        <x:v>46300</x:v>
      </x:c>
      <x:c r="K3" s="43" t="n">
        <x:v>46302</x:v>
      </x:c>
      <x:c r="L3" s="27" t="str">
        <x:v>DES-01</x:v>
      </x:c>
      <x:c r="M3" s="27" t="str">
        <x:v>Architecture diagram + technology decision record</x:v>
      </x:c>
      <x:c r="N3" s="27" t="str">
        <x:v>In Progress</x:v>
      </x:c>
      <x:c r="O3" s="28" t="n">
        <x:v>0.6</x:v>
      </x:c>
      <x:c r="P3" s="27" t="str">
        <x:v>React/FastAPI/PostgreSQL/ETL/ML/Docker roles rõ; không overlap trách nhiệm</x:v>
      </x:c>
      <x:c r="Q3" s="27" t="str"/>
    </x:row>
    <x:row r="4">
      <x:c r="A4" s="27" t="str">
        <x:v>DES-03</x:v>
      </x:c>
      <x:c r="B4" s="27" t="str">
        <x:v>Design</x:v>
      </x:c>
      <x:c r="C4" s="27" t="str">
        <x:v>Cross-domain</x:v>
      </x:c>
      <x:c r="D4" s="27" t="str">
        <x:v>Định nghĩa data contracts giữa Raw → Staging → DW → Mart → API</x:v>
      </x:c>
      <x:c r="E4" s="27" t="str">
        <x:v>Low</x:v>
      </x:c>
      <x:c r="F4" s="27" t="str">
        <x:v>Architecture</x:v>
      </x:c>
      <x:c r="G4" s="27" t="str">
        <x:v>Member 1 – Architecture / DW / Backend</x:v>
      </x:c>
      <x:c r="H4" s="27" t="str">
        <x:v>Member 2 – Data Engineering / BI</x:v>
      </x:c>
      <x:c r="I4" s="27" t="str">
        <x:v>P0 – Critical</x:v>
      </x:c>
      <x:c r="J4" s="43" t="n">
        <x:v>46301</x:v>
      </x:c>
      <x:c r="K4" s="43" t="n">
        <x:v>46303</x:v>
      </x:c>
      <x:c r="L4" s="27" t="str">
        <x:v>DES-02</x:v>
      </x:c>
      <x:c r="M4" s="27" t="str">
        <x:v>Data contract document</x:v>
      </x:c>
      <x:c r="N4" s="27" t="str">
        <x:v>Not Started</x:v>
      </x:c>
      <x:c r="O4" s="28" t="n">
        <x:v>0</x:v>
      </x:c>
      <x:c r="P4" s="27" t="str">
        <x:v>Input/output/schema expectations và validation tại mỗi boundary</x:v>
      </x:c>
      <x:c r="Q4" s="27" t="str"/>
    </x:row>
    <x:row r="5">
      <x:c r="A5" s="27" t="str">
        <x:v>DES-04</x:v>
      </x:c>
      <x:c r="B5" s="27" t="str">
        <x:v>Design</x:v>
      </x:c>
      <x:c r="C5" s="27" t="str">
        <x:v>Cross-domain</x:v>
      </x:c>
      <x:c r="D5" s="27" t="str">
        <x:v>Chốt KPI dictionary và 3 ML targets</x:v>
      </x:c>
      <x:c r="E5" s="27" t="str">
        <x:v>Low</x:v>
      </x:c>
      <x:c r="F5" s="27" t="str">
        <x:v>Architecture</x:v>
      </x:c>
      <x:c r="G5" s="27" t="str">
        <x:v>Member 1 – Architecture / DW / Backend</x:v>
      </x:c>
      <x:c r="H5" s="27" t="str">
        <x:v>Member 3 – Frontend / ML-DSS</x:v>
      </x:c>
      <x:c r="I5" s="27" t="str">
        <x:v>P0 – Critical</x:v>
      </x:c>
      <x:c r="J5" s="43" t="n">
        <x:v>46301</x:v>
      </x:c>
      <x:c r="K5" s="43" t="n">
        <x:v>46303</x:v>
      </x:c>
      <x:c r="L5" s="27" t="str">
        <x:v>DES-01</x:v>
      </x:c>
      <x:c r="M5" s="27" t="str">
        <x:v>KPI + target definition</x:v>
      </x:c>
      <x:c r="N5" s="27" t="str">
        <x:v>Not Started</x:v>
      </x:c>
      <x:c r="O5" s="28" t="n">
        <x:v>0</x:v>
      </x:c>
      <x:c r="P5" s="27" t="str">
        <x:v>Demand, guest mix, cancellation target không mơ hồ; công thức KPI thống nhất</x:v>
      </x:c>
      <x:c r="Q5" s="27" t="str"/>
    </x:row>
    <x:row r="6">
      <x:c r="A6" s="27" t="str">
        <x:v>SRC-01</x:v>
      </x:c>
      <x:c r="B6" s="27" t="str">
        <x:v>Sources</x:v>
      </x:c>
      <x:c r="C6" s="27" t="str">
        <x:v>Cross-domain</x:v>
      </x:c>
      <x:c r="D6" s="27" t="str">
        <x:v>Thu Hotel Booking raw dataset và data dictionary</x:v>
      </x:c>
      <x:c r="E6" s="27" t="str">
        <x:v>Low</x:v>
      </x:c>
      <x:c r="F6" s="27" t="str">
        <x:v>Data Engineering</x:v>
      </x:c>
      <x:c r="G6" s="27" t="str">
        <x:v>Member 2 – Data Engineering / BI</x:v>
      </x:c>
      <x:c r="H6" s="27" t="str">
        <x:v>Member 1 – Architecture / DW / Backend</x:v>
      </x:c>
      <x:c r="I6" s="27" t="str">
        <x:v>P0 – Critical</x:v>
      </x:c>
      <x:c r="J6" s="43" t="n">
        <x:v>46303</x:v>
      </x:c>
      <x:c r="K6" s="43" t="n">
        <x:v>46304</x:v>
      </x:c>
      <x:c r="L6" s="27" t="str">
        <x:v>DES-01</x:v>
      </x:c>
      <x:c r="M6" s="27" t="str">
        <x:v>data/raw/booking + dictionary</x:v>
      </x:c>
      <x:c r="N6" s="27" t="str">
        <x:v>Not Started</x:v>
      </x:c>
      <x:c r="O6" s="28" t="n">
        <x:v>0</x:v>
      </x:c>
      <x:c r="P6" s="27" t="str">
        <x:v>Raw immutable; fields mapped to BR</x:v>
      </x:c>
      <x:c r="Q6" s="27" t="str"/>
    </x:row>
    <x:row r="7">
      <x:c r="A7" s="27" t="str">
        <x:v>SRC-02</x:v>
      </x:c>
      <x:c r="B7" s="27" t="str">
        <x:v>Sources</x:v>
      </x:c>
      <x:c r="C7" s="27" t="str">
        <x:v>Operations</x:v>
      </x:c>
      <x:c r="D7" s="27" t="str">
        <x:v>Thu weather source phù hợp thời gian/location</x:v>
      </x:c>
      <x:c r="E7" s="27" t="str">
        <x:v>Low</x:v>
      </x:c>
      <x:c r="F7" s="27" t="str">
        <x:v>Data Engineering</x:v>
      </x:c>
      <x:c r="G7" s="27" t="str">
        <x:v>Member 2 – Data Engineering / BI</x:v>
      </x:c>
      <x:c r="H7" s="27" t="str">
        <x:v>Member 1 – Architecture / DW / Backend</x:v>
      </x:c>
      <x:c r="I7" s="27" t="str">
        <x:v>P0 – Critical</x:v>
      </x:c>
      <x:c r="J7" s="43" t="n">
        <x:v>46303</x:v>
      </x:c>
      <x:c r="K7" s="43" t="n">
        <x:v>46305</x:v>
      </x:c>
      <x:c r="L7" s="27" t="str">
        <x:v>DES-01</x:v>
      </x:c>
      <x:c r="M7" s="27" t="str">
        <x:v>weather raw CSV/JSON + dictionary</x:v>
      </x:c>
      <x:c r="N7" s="27" t="str">
        <x:v>Not Started</x:v>
      </x:c>
      <x:c r="O7" s="28" t="n">
        <x:v>0</x:v>
      </x:c>
      <x:c r="P7" s="27" t="str">
        <x:v>Có date/location/temp/precipitation; provenance rõ</x:v>
      </x:c>
      <x:c r="Q7" s="27" t="str"/>
    </x:row>
    <x:row r="8">
      <x:c r="A8" s="27" t="str">
        <x:v>SRC-03</x:v>
      </x:c>
      <x:c r="B8" s="27" t="str">
        <x:v>Sources</x:v>
      </x:c>
      <x:c r="C8" s="27" t="str">
        <x:v>Operations</x:v>
      </x:c>
      <x:c r="D8" s="27" t="str">
        <x:v>Thu holiday/calendar source</x:v>
      </x:c>
      <x:c r="E8" s="27" t="str">
        <x:v>Low</x:v>
      </x:c>
      <x:c r="F8" s="27" t="str">
        <x:v>Data Engineering</x:v>
      </x:c>
      <x:c r="G8" s="27" t="str">
        <x:v>Member 2 – Data Engineering / BI</x:v>
      </x:c>
      <x:c r="H8" s="27" t="str">
        <x:v>Member 1 – Architecture / DW / Backend</x:v>
      </x:c>
      <x:c r="I8" s="27" t="str">
        <x:v>P0 – Critical</x:v>
      </x:c>
      <x:c r="J8" s="43" t="n">
        <x:v>46303</x:v>
      </x:c>
      <x:c r="K8" s="43" t="n">
        <x:v>46305</x:v>
      </x:c>
      <x:c r="L8" s="27" t="str">
        <x:v>DES-01</x:v>
      </x:c>
      <x:c r="M8" s="27" t="str">
        <x:v>holiday raw + dictionary</x:v>
      </x:c>
      <x:c r="N8" s="27" t="str">
        <x:v>Not Started</x:v>
      </x:c>
      <x:c r="O8" s="28" t="n">
        <x:v>0</x:v>
      </x:c>
      <x:c r="P8" s="27" t="str">
        <x:v>Có date/holiday/country-region; có thể tạo is_holiday</x:v>
      </x:c>
      <x:c r="Q8" s="27" t="str"/>
    </x:row>
    <x:row r="9">
      <x:c r="A9" s="27" t="str">
        <x:v>SRC-04</x:v>
      </x:c>
      <x:c r="B9" s="27" t="str">
        <x:v>Sources</x:v>
      </x:c>
      <x:c r="C9" s="27" t="str">
        <x:v>Cross-domain</x:v>
      </x:c>
      <x:c r="D9" s="27" t="str">
        <x:v>Đánh giá event source (optional)</x:v>
      </x:c>
      <x:c r="E9" s="27" t="str">
        <x:v>Low</x:v>
      </x:c>
      <x:c r="F9" s="27" t="str">
        <x:v>Data Engineering</x:v>
      </x:c>
      <x:c r="G9" s="27" t="str">
        <x:v>Member 2 – Data Engineering / BI</x:v>
      </x:c>
      <x:c r="H9" s="27" t="str">
        <x:v>Member 1 – Architecture / DW / Backend</x:v>
      </x:c>
      <x:c r="I9" s="27" t="str">
        <x:v>P2 – Medium</x:v>
      </x:c>
      <x:c r="J9" s="43" t="n">
        <x:v>46304</x:v>
      </x:c>
      <x:c r="K9" s="43" t="n">
        <x:v>46307</x:v>
      </x:c>
      <x:c r="L9" s="27" t="str">
        <x:v>DES-01</x:v>
      </x:c>
      <x:c r="M9" s="27" t="str">
        <x:v>Go/No-Go note + raw nếu dùng</x:v>
      </x:c>
      <x:c r="N9" s="27" t="str">
        <x:v>Not Started</x:v>
      </x:c>
      <x:c r="O9" s="28" t="n">
        <x:v>0</x:v>
      </x:c>
      <x:c r="P9" s="27" t="str">
        <x:v>Không dùng nguồn yếu chỉ để tăng source count</x:v>
      </x:c>
      <x:c r="Q9" s="27" t="str"/>
    </x:row>
    <x:row r="10">
      <x:c r="A10" s="27" t="str">
        <x:v>SRC-05</x:v>
      </x:c>
      <x:c r="B10" s="27" t="str">
        <x:v>Sources</x:v>
      </x:c>
      <x:c r="C10" s="27" t="str">
        <x:v>Cross-domain</x:v>
      </x:c>
      <x:c r="D10" s="27" t="str">
        <x:v>Profiling tất cả sources</x:v>
      </x:c>
      <x:c r="E10" s="27" t="str">
        <x:v>Low</x:v>
      </x:c>
      <x:c r="F10" s="27" t="str">
        <x:v>Data Engineering</x:v>
      </x:c>
      <x:c r="G10" s="27" t="str">
        <x:v>Member 2 – Data Engineering / BI</x:v>
      </x:c>
      <x:c r="H10" s="27" t="str">
        <x:v>Member 1 – Architecture / DW / Backend</x:v>
      </x:c>
      <x:c r="I10" s="27" t="str">
        <x:v>P0 – Critical</x:v>
      </x:c>
      <x:c r="J10" s="43" t="n">
        <x:v>46305</x:v>
      </x:c>
      <x:c r="K10" s="43" t="n">
        <x:v>46308</x:v>
      </x:c>
      <x:c r="L10" s="27" t="str">
        <x:v>SRC-01; SRC-02; SRC-03</x:v>
      </x:c>
      <x:c r="M10" s="27" t="str">
        <x:v>Profiling notebooks + issue register</x:v>
      </x:c>
      <x:c r="N10" s="27" t="str">
        <x:v>Not Started</x:v>
      </x:c>
      <x:c r="O10" s="28" t="n">
        <x:v>0</x:v>
      </x:c>
      <x:c r="P10" s="27" t="str">
        <x:v>Null/duplicate/type/outlier/key/date issues được ghi nhận</x:v>
      </x:c>
      <x:c r="Q10" s="27" t="str"/>
    </x:row>
    <x:row r="11">
      <x:c r="A11" s="27" t="str">
        <x:v>ETL-01</x:v>
      </x:c>
      <x:c r="B11" s="27" t="str">
        <x:v>Staging/ETL</x:v>
      </x:c>
      <x:c r="C11" s="27" t="str">
        <x:v>Cross-domain</x:v>
      </x:c>
      <x:c r="D11" s="27" t="str">
        <x:v>Tạo staging schema + DDL</x:v>
      </x:c>
      <x:c r="E11" s="27" t="str">
        <x:v>Low</x:v>
      </x:c>
      <x:c r="F11" s="27" t="str">
        <x:v>Data Engineering</x:v>
      </x:c>
      <x:c r="G11" s="27" t="str">
        <x:v>Member 2 – Data Engineering / BI</x:v>
      </x:c>
      <x:c r="H11" s="27" t="str">
        <x:v>Member 1 – Architecture / DW / Backend</x:v>
      </x:c>
      <x:c r="I11" s="27" t="str">
        <x:v>P0 – Critical</x:v>
      </x:c>
      <x:c r="J11" s="43" t="n">
        <x:v>46309</x:v>
      </x:c>
      <x:c r="K11" s="43" t="n">
        <x:v>46310</x:v>
      </x:c>
      <x:c r="L11" s="27" t="str">
        <x:v>SRC-05</x:v>
      </x:c>
      <x:c r="M11" s="27" t="str">
        <x:v>staging.* DDL</x:v>
      </x:c>
      <x:c r="N11" s="27" t="str">
        <x:v>Not Started</x:v>
      </x:c>
      <x:c r="O11" s="28" t="n">
        <x:v>0</x:v>
      </x:c>
      <x:c r="P11" s="27" t="str">
        <x:v>stg_booking/weather/holiday; metadata batch/source fields</x:v>
      </x:c>
      <x:c r="Q11" s="27" t="str"/>
    </x:row>
    <x:row r="12">
      <x:c r="A12" s="27" t="str">
        <x:v>ETL-02</x:v>
      </x:c>
      <x:c r="B12" s="27" t="str">
        <x:v>Staging/ETL</x:v>
      </x:c>
      <x:c r="C12" s="27" t="str">
        <x:v>Cross-domain</x:v>
      </x:c>
      <x:c r="D12" s="27" t="str">
        <x:v>Source → Staging loaders</x:v>
      </x:c>
      <x:c r="E12" s="27" t="str">
        <x:v>Low</x:v>
      </x:c>
      <x:c r="F12" s="27" t="str">
        <x:v>Data Engineering</x:v>
      </x:c>
      <x:c r="G12" s="27" t="str">
        <x:v>Member 2 – Data Engineering / BI</x:v>
      </x:c>
      <x:c r="H12" s="27" t="str">
        <x:v>Member 1 – Architecture / DW / Backend</x:v>
      </x:c>
      <x:c r="I12" s="27" t="str">
        <x:v>P0 – Critical</x:v>
      </x:c>
      <x:c r="J12" s="43" t="n">
        <x:v>46310</x:v>
      </x:c>
      <x:c r="K12" s="43" t="n">
        <x:v>46312</x:v>
      </x:c>
      <x:c r="L12" s="27" t="str">
        <x:v>ETL-01</x:v>
      </x:c>
      <x:c r="M12" s="27" t="str">
        <x:v>Python loaders + ingestion logs</x:v>
      </x:c>
      <x:c r="N12" s="27" t="str">
        <x:v>Not Started</x:v>
      </x:c>
      <x:c r="O12" s="28" t="n">
        <x:v>0</x:v>
      </x:c>
      <x:c r="P12" s="27" t="str">
        <x:v>Row reconciliation; traceability; rerun predictable</x:v>
      </x:c>
      <x:c r="Q12" s="27" t="str"/>
    </x:row>
    <x:row r="13">
      <x:c r="A13" s="27" t="str">
        <x:v>ETL-03</x:v>
      </x:c>
      <x:c r="B13" s="27" t="str">
        <x:v>Staging/ETL</x:v>
      </x:c>
      <x:c r="C13" s="27" t="str">
        <x:v>Cross-domain</x:v>
      </x:c>
      <x:c r="D13" s="27" t="str">
        <x:v>Data quality checks cho staging</x:v>
      </x:c>
      <x:c r="E13" s="27" t="str">
        <x:v>Low</x:v>
      </x:c>
      <x:c r="F13" s="27" t="str">
        <x:v>Data Engineering</x:v>
      </x:c>
      <x:c r="G13" s="27" t="str">
        <x:v>Member 2 – Data Engineering / BI</x:v>
      </x:c>
      <x:c r="H13" s="27" t="str">
        <x:v>Member 1 – Architecture / DW / Backend</x:v>
      </x:c>
      <x:c r="I13" s="27" t="str">
        <x:v>P0 – Critical</x:v>
      </x:c>
      <x:c r="J13" s="43" t="n">
        <x:v>46311</x:v>
      </x:c>
      <x:c r="K13" s="43" t="n">
        <x:v>46313</x:v>
      </x:c>
      <x:c r="L13" s="27" t="str">
        <x:v>ETL-02</x:v>
      </x:c>
      <x:c r="M13" s="27" t="str">
        <x:v>staging_checks.py + report</x:v>
      </x:c>
      <x:c r="N13" s="27" t="str">
        <x:v>Not Started</x:v>
      </x:c>
      <x:c r="O13" s="28" t="n">
        <x:v>0</x:v>
      </x:c>
      <x:c r="P13" s="27" t="str">
        <x:v>Required cols, invalid dates, duplicates, ranges checked</x:v>
      </x:c>
      <x:c r="Q13" s="27" t="str"/>
    </x:row>
    <x:row r="14">
      <x:c r="A14" s="27" t="str">
        <x:v>ETL-04</x:v>
      </x:c>
      <x:c r="B14" s="27" t="str">
        <x:v>Staging/ETL</x:v>
      </x:c>
      <x:c r="C14" s="27" t="str">
        <x:v>Cross-domain</x:v>
      </x:c>
      <x:c r="D14" s="27" t="str">
        <x:v>Transformation rules: dates/categories/missing/outliers</x:v>
      </x:c>
      <x:c r="E14" s="27" t="str">
        <x:v>Low</x:v>
      </x:c>
      <x:c r="F14" s="27" t="str">
        <x:v>Data Engineering</x:v>
      </x:c>
      <x:c r="G14" s="27" t="str">
        <x:v>Member 2 – Data Engineering / BI</x:v>
      </x:c>
      <x:c r="H14" s="27" t="str">
        <x:v>Member 1 – Architecture / DW / Backend</x:v>
      </x:c>
      <x:c r="I14" s="27" t="str">
        <x:v>P0 – Critical</x:v>
      </x:c>
      <x:c r="J14" s="43" t="n">
        <x:v>46312</x:v>
      </x:c>
      <x:c r="K14" s="43" t="n">
        <x:v>46314</x:v>
      </x:c>
      <x:c r="L14" s="27" t="str">
        <x:v>SRC-05</x:v>
      </x:c>
      <x:c r="M14" s="27" t="str">
        <x:v>ETL transform modules + spec</x:v>
      </x:c>
      <x:c r="N14" s="27" t="str">
        <x:v>Not Started</x:v>
      </x:c>
      <x:c r="O14" s="28" t="n">
        <x:v>0</x:v>
      </x:c>
      <x:c r="P14" s="27" t="str">
        <x:v>Không drop/null tùy tiện; mỗi rule có lý do</x:v>
      </x:c>
      <x:c r="Q14" s="27" t="str"/>
    </x:row>
    <x:row r="15">
      <x:c r="A15" s="27" t="str">
        <x:v>ETL-05</x:v>
      </x:c>
      <x:c r="B15" s="27" t="str">
        <x:v>Staging/ETL</x:v>
      </x:c>
      <x:c r="C15" s="27" t="str">
        <x:v>Cross-domain</x:v>
      </x:c>
      <x:c r="D15" s="27" t="str">
        <x:v>Integrate booking + holiday + weather</x:v>
      </x:c>
      <x:c r="E15" s="27" t="str">
        <x:v>Low</x:v>
      </x:c>
      <x:c r="F15" s="27" t="str">
        <x:v>Data Engineering</x:v>
      </x:c>
      <x:c r="G15" s="27" t="str">
        <x:v>Member 2 – Data Engineering / BI</x:v>
      </x:c>
      <x:c r="H15" s="27" t="str">
        <x:v>Member 1 – Architecture / DW / Backend</x:v>
      </x:c>
      <x:c r="I15" s="27" t="str">
        <x:v>P0 – Critical</x:v>
      </x:c>
      <x:c r="J15" s="43" t="n">
        <x:v>46313</x:v>
      </x:c>
      <x:c r="K15" s="43" t="n">
        <x:v>46316</x:v>
      </x:c>
      <x:c r="L15" s="27" t="str">
        <x:v>ETL-04</x:v>
      </x:c>
      <x:c r="M15" s="27" t="str">
        <x:v>Integrated staging/DW-ready dataset</x:v>
      </x:c>
      <x:c r="N15" s="27" t="str">
        <x:v>Not Started</x:v>
      </x:c>
      <x:c r="O15" s="28" t="n">
        <x:v>0</x:v>
      </x:c>
      <x:c r="P15" s="27" t="str">
        <x:v>Join assumptions rõ; coverage rate được đo</x:v>
      </x:c>
      <x:c r="Q15" s="27" t="str"/>
    </x:row>
    <x:row r="16">
      <x:c r="A16" s="27" t="str">
        <x:v>DW-01</x:v>
      </x:c>
      <x:c r="B16" s="27" t="str">
        <x:v>Data Warehouse</x:v>
      </x:c>
      <x:c r="C16" s="27" t="str">
        <x:v>Cross-domain</x:v>
      </x:c>
      <x:c r="D16" s="27" t="str">
        <x:v>Chốt grain và star schema</x:v>
      </x:c>
      <x:c r="E16" s="27" t="str">
        <x:v>High</x:v>
      </x:c>
      <x:c r="F16" s="27" t="str">
        <x:v>DW</x:v>
      </x:c>
      <x:c r="G16" s="27" t="str">
        <x:v>Member 1 – Architecture / DW / Backend</x:v>
      </x:c>
      <x:c r="H16" s="27" t="str">
        <x:v>Member 2 – Data Engineering / BI</x:v>
      </x:c>
      <x:c r="I16" s="27" t="str">
        <x:v>P0 – Critical</x:v>
      </x:c>
      <x:c r="J16" s="43" t="n">
        <x:v>46313</x:v>
      </x:c>
      <x:c r="K16" s="43" t="n">
        <x:v>46315</x:v>
      </x:c>
      <x:c r="L16" s="27" t="str">
        <x:v>DES-03; SRC-05</x:v>
      </x:c>
      <x:c r="M16" s="27" t="str">
        <x:v>DW logical schema</x:v>
      </x:c>
      <x:c r="N16" s="27" t="str">
        <x:v>Not Started</x:v>
      </x:c>
      <x:c r="O16" s="28" t="n">
        <x:v>0</x:v>
      </x:c>
      <x:c r="P16" s="27" t="str">
        <x:v>Fact grain viết thành câu; dimensions/measures rõ</x:v>
      </x:c>
      <x:c r="Q16" s="27" t="str"/>
    </x:row>
    <x:row r="17">
      <x:c r="A17" s="27" t="str">
        <x:v>DW-02</x:v>
      </x:c>
      <x:c r="B17" s="27" t="str">
        <x:v>Data Warehouse</x:v>
      </x:c>
      <x:c r="C17" s="27" t="str">
        <x:v>Cross-domain</x:v>
      </x:c>
      <x:c r="D17" s="27" t="str">
        <x:v>Tạo DW DDL, PK/FK/indexes</x:v>
      </x:c>
      <x:c r="E17" s="27" t="str">
        <x:v>Low</x:v>
      </x:c>
      <x:c r="F17" s="27" t="str">
        <x:v>DW</x:v>
      </x:c>
      <x:c r="G17" s="27" t="str">
        <x:v>Member 1 – Architecture / DW / Backend</x:v>
      </x:c>
      <x:c r="H17" s="27" t="str">
        <x:v>Member 2 – Data Engineering / BI</x:v>
      </x:c>
      <x:c r="I17" s="27" t="str">
        <x:v>P0 – Critical</x:v>
      </x:c>
      <x:c r="J17" s="43" t="n">
        <x:v>46315</x:v>
      </x:c>
      <x:c r="K17" s="43" t="n">
        <x:v>46317</x:v>
      </x:c>
      <x:c r="L17" s="27" t="str">
        <x:v>DW-01</x:v>
      </x:c>
      <x:c r="M17" s="27" t="str">
        <x:v>database/warehouse/*.sql</x:v>
      </x:c>
      <x:c r="N17" s="27" t="str">
        <x:v>Not Started</x:v>
      </x:c>
      <x:c r="O17" s="28" t="n">
        <x:v>0</x:v>
      </x:c>
      <x:c r="P17" s="27" t="str">
        <x:v>DDL chạy sạch; PK/FK/index hợp lý</x:v>
      </x:c>
      <x:c r="Q17" s="27" t="str"/>
    </x:row>
    <x:row r="18">
      <x:c r="A18" s="27" t="str">
        <x:v>DW-03</x:v>
      </x:c>
      <x:c r="B18" s="27" t="str">
        <x:v>Data Warehouse</x:v>
      </x:c>
      <x:c r="C18" s="27" t="str">
        <x:v>Cross-domain</x:v>
      </x:c>
      <x:c r="D18" s="27" t="str">
        <x:v>Load dimensions + surrogate keys</x:v>
      </x:c>
      <x:c r="E18" s="27" t="str">
        <x:v>Low</x:v>
      </x:c>
      <x:c r="F18" s="27" t="str">
        <x:v>DW/ETL</x:v>
      </x:c>
      <x:c r="G18" s="27" t="str">
        <x:v>Member 2 – Data Engineering / BI</x:v>
      </x:c>
      <x:c r="H18" s="27" t="str">
        <x:v>Member 1 – Architecture / DW / Backend</x:v>
      </x:c>
      <x:c r="I18" s="27" t="str">
        <x:v>P0 – Critical</x:v>
      </x:c>
      <x:c r="J18" s="43" t="n">
        <x:v>46316</x:v>
      </x:c>
      <x:c r="K18" s="43" t="n">
        <x:v>46318</x:v>
      </x:c>
      <x:c r="L18" s="27" t="str">
        <x:v>DW-02; ETL-05</x:v>
      </x:c>
      <x:c r="M18" s="27" t="str">
        <x:v>dw.dim_* populated</x:v>
      </x:c>
      <x:c r="N18" s="27" t="str">
        <x:v>Not Started</x:v>
      </x:c>
      <x:c r="O18" s="28" t="n">
        <x:v>0</x:v>
      </x:c>
      <x:c r="P18" s="27" t="str">
        <x:v>No orphan keys; dimension row uniqueness đúng</x:v>
      </x:c>
      <x:c r="Q18" s="27" t="str"/>
    </x:row>
    <x:row r="19">
      <x:c r="A19" s="27" t="str">
        <x:v>DW-04</x:v>
      </x:c>
      <x:c r="B19" s="27" t="str">
        <x:v>Data Warehouse</x:v>
      </x:c>
      <x:c r="C19" s="27" t="str">
        <x:v>Cross-domain</x:v>
      </x:c>
      <x:c r="D19" s="27" t="str">
        <x:v>Load FactBooking</x:v>
      </x:c>
      <x:c r="E19" s="27" t="str">
        <x:v>Low</x:v>
      </x:c>
      <x:c r="F19" s="27" t="str">
        <x:v>DW/ETL</x:v>
      </x:c>
      <x:c r="G19" s="27" t="str">
        <x:v>Member 2 – Data Engineering / BI</x:v>
      </x:c>
      <x:c r="H19" s="27" t="str">
        <x:v>Member 1 – Architecture / DW / Backend</x:v>
      </x:c>
      <x:c r="I19" s="27" t="str">
        <x:v>P0 – Critical</x:v>
      </x:c>
      <x:c r="J19" s="43" t="n">
        <x:v>46317</x:v>
      </x:c>
      <x:c r="K19" s="43" t="n">
        <x:v>46319</x:v>
      </x:c>
      <x:c r="L19" s="27" t="str">
        <x:v>DW-03</x:v>
      </x:c>
      <x:c r="M19" s="27" t="str">
        <x:v>dw.fact_booking populated</x:v>
      </x:c>
      <x:c r="N19" s="27" t="str">
        <x:v>Not Started</x:v>
      </x:c>
      <x:c r="O19" s="28" t="n">
        <x:v>0</x:v>
      </x:c>
      <x:c r="P19" s="27" t="str">
        <x:v>No duplicate business grain; row reconciliation</x:v>
      </x:c>
      <x:c r="Q19" s="27" t="str"/>
    </x:row>
    <x:row r="20">
      <x:c r="A20" s="27" t="str">
        <x:v>DW-05</x:v>
      </x:c>
      <x:c r="B20" s="27" t="str">
        <x:v>Data Warehouse</x:v>
      </x:c>
      <x:c r="C20" s="27" t="str">
        <x:v>Cross-domain</x:v>
      </x:c>
      <x:c r="D20" s="27" t="str">
        <x:v>DW validation + schema extensibility review</x:v>
      </x:c>
      <x:c r="E20" s="27" t="str">
        <x:v>High</x:v>
      </x:c>
      <x:c r="F20" s="27" t="str">
        <x:v>DW</x:v>
      </x:c>
      <x:c r="G20" s="27" t="str">
        <x:v>Member 1 – Architecture / DW / Backend</x:v>
      </x:c>
      <x:c r="H20" s="27" t="str">
        <x:v>Member 2 – Data Engineering / BI</x:v>
      </x:c>
      <x:c r="I20" s="27" t="str">
        <x:v>P0 – Critical</x:v>
      </x:c>
      <x:c r="J20" s="43" t="n">
        <x:v>46319</x:v>
      </x:c>
      <x:c r="K20" s="43" t="n">
        <x:v>46320</x:v>
      </x:c>
      <x:c r="L20" s="27" t="str">
        <x:v>DW-04</x:v>
      </x:c>
      <x:c r="M20" s="27" t="str">
        <x:v>Validation SQL + schema freeze note</x:v>
      </x:c>
      <x:c r="N20" s="27" t="str">
        <x:v>Not Started</x:v>
      </x:c>
      <x:c r="O20" s="28" t="n">
        <x:v>0</x:v>
      </x:c>
      <x:c r="P20" s="27" t="str">
        <x:v>KPI không double-count; extension scenario review xong</x:v>
      </x:c>
      <x:c r="Q20" s="27" t="str"/>
    </x:row>
    <x:row r="21">
      <x:c r="A21" s="27" t="str">
        <x:v>MART-01</x:v>
      </x:c>
      <x:c r="B21" s="27" t="str">
        <x:v>Data Mart</x:v>
      </x:c>
      <x:c r="C21" s="27" t="str">
        <x:v>Operations</x:v>
      </x:c>
      <x:c r="D21" s="27" t="str">
        <x:v>Build Operations Mart</x:v>
      </x:c>
      <x:c r="E21" s="27" t="str">
        <x:v>Low</x:v>
      </x:c>
      <x:c r="F21" s="27" t="str">
        <x:v>Mart</x:v>
      </x:c>
      <x:c r="G21" s="27" t="str">
        <x:v>Member 1 – Architecture / DW / Backend</x:v>
      </x:c>
      <x:c r="H21" s="27" t="str">
        <x:v>Member 2 – Data Engineering / BI</x:v>
      </x:c>
      <x:c r="I21" s="27" t="str">
        <x:v>P0 – Critical</x:v>
      </x:c>
      <x:c r="J21" s="43" t="n">
        <x:v>46320</x:v>
      </x:c>
      <x:c r="K21" s="43" t="n">
        <x:v>46322</x:v>
      </x:c>
      <x:c r="L21" s="27" t="str">
        <x:v>DW-05</x:v>
      </x:c>
      <x:c r="M21" s="27" t="str">
        <x:v>mart.operations_*</x:v>
      </x:c>
      <x:c r="N21" s="27" t="str">
        <x:v>Not Started</x:v>
      </x:c>
      <x:c r="O21" s="28" t="n">
        <x:v>0</x:v>
      </x:c>
      <x:c r="P21" s="27" t="str">
        <x:v>Daily hotel grain; demand/calendar/weather aggregates đủ cho OLAP + forecast</x:v>
      </x:c>
      <x:c r="Q21" s="27" t="str"/>
    </x:row>
    <x:row r="22">
      <x:c r="A22" s="27" t="str">
        <x:v>MART-02</x:v>
      </x:c>
      <x:c r="B22" s="27" t="str">
        <x:v>Data Mart</x:v>
      </x:c>
      <x:c r="C22" s="27" t="str">
        <x:v>Guest / Customer</x:v>
      </x:c>
      <x:c r="D22" s="27" t="str">
        <x:v>Build Guest / Customer Mart</x:v>
      </x:c>
      <x:c r="E22" s="27" t="str">
        <x:v>Low</x:v>
      </x:c>
      <x:c r="F22" s="27" t="str">
        <x:v>Mart</x:v>
      </x:c>
      <x:c r="G22" s="27" t="str">
        <x:v>Member 1 – Architecture / DW / Backend</x:v>
      </x:c>
      <x:c r="H22" s="27" t="str">
        <x:v>Member 2 – Data Engineering / BI</x:v>
      </x:c>
      <x:c r="I22" s="27" t="str">
        <x:v>P0 – Critical</x:v>
      </x:c>
      <x:c r="J22" s="43" t="n">
        <x:v>46320</x:v>
      </x:c>
      <x:c r="K22" s="43" t="n">
        <x:v>46322</x:v>
      </x:c>
      <x:c r="L22" s="27" t="str">
        <x:v>DW-05</x:v>
      </x:c>
      <x:c r="M22" s="27" t="str">
        <x:v>mart.guest_customer_*</x:v>
      </x:c>
      <x:c r="N22" s="27" t="str">
        <x:v>Not Started</x:v>
      </x:c>
      <x:c r="O22" s="28" t="n">
        <x:v>0</x:v>
      </x:c>
      <x:c r="P22" s="27" t="str">
        <x:v>Guest composition, party size, room-related aggregates usable</x:v>
      </x:c>
      <x:c r="Q22" s="27" t="str"/>
    </x:row>
    <x:row r="23">
      <x:c r="A23" s="27" t="str">
        <x:v>MART-03</x:v>
      </x:c>
      <x:c r="B23" s="27" t="str">
        <x:v>Data Mart</x:v>
      </x:c>
      <x:c r="C23" s="27" t="str">
        <x:v>Revenue &amp; Cancellation</x:v>
      </x:c>
      <x:c r="D23" s="27" t="str">
        <x:v>Build Revenue &amp; Cancellation Mart</x:v>
      </x:c>
      <x:c r="E23" s="27" t="str">
        <x:v>Low</x:v>
      </x:c>
      <x:c r="F23" s="27" t="str">
        <x:v>Mart</x:v>
      </x:c>
      <x:c r="G23" s="27" t="str">
        <x:v>Member 1 – Architecture / DW / Backend</x:v>
      </x:c>
      <x:c r="H23" s="27" t="str">
        <x:v>Member 2 – Data Engineering / BI</x:v>
      </x:c>
      <x:c r="I23" s="27" t="str">
        <x:v>P0 – Critical</x:v>
      </x:c>
      <x:c r="J23" s="43" t="n">
        <x:v>46321</x:v>
      </x:c>
      <x:c r="K23" s="43" t="n">
        <x:v>46323</x:v>
      </x:c>
      <x:c r="L23" s="27" t="str">
        <x:v>DW-05</x:v>
      </x:c>
      <x:c r="M23" s="27" t="str">
        <x:v>mart.revenue_cancellation_*</x:v>
      </x:c>
      <x:c r="N23" s="27" t="str">
        <x:v>Not Started</x:v>
      </x:c>
      <x:c r="O23" s="28" t="n">
        <x:v>0</x:v>
      </x:c>
      <x:c r="P23" s="27" t="str">
        <x:v>Cancellation aggregates + revenue proxy definitions documented</x:v>
      </x:c>
      <x:c r="Q23" s="27" t="str"/>
    </x:row>
    <x:row r="24">
      <x:c r="A24" s="27" t="str">
        <x:v>MART-04</x:v>
      </x:c>
      <x:c r="B24" s="27" t="str">
        <x:v>Data Mart</x:v>
      </x:c>
      <x:c r="C24" s="27" t="str">
        <x:v>Booking Performance</x:v>
      </x:c>
      <x:c r="D24" s="27" t="str">
        <x:v>Build Booking Performance Mart</x:v>
      </x:c>
      <x:c r="E24" s="27" t="str">
        <x:v>Low</x:v>
      </x:c>
      <x:c r="F24" s="27" t="str">
        <x:v>Mart</x:v>
      </x:c>
      <x:c r="G24" s="27" t="str">
        <x:v>Member 1 – Architecture / DW / Backend</x:v>
      </x:c>
      <x:c r="H24" s="27" t="str">
        <x:v>Member 2 – Data Engineering / BI</x:v>
      </x:c>
      <x:c r="I24" s="27" t="str">
        <x:v>P1 – High</x:v>
      </x:c>
      <x:c r="J24" s="43" t="n">
        <x:v>46321</x:v>
      </x:c>
      <x:c r="K24" s="43" t="n">
        <x:v>46323</x:v>
      </x:c>
      <x:c r="L24" s="27" t="str">
        <x:v>DW-05</x:v>
      </x:c>
      <x:c r="M24" s="27" t="str">
        <x:v>mart.booking_performance_*</x:v>
      </x:c>
      <x:c r="N24" s="27" t="str">
        <x:v>Not Started</x:v>
      </x:c>
      <x:c r="O24" s="28" t="n">
        <x:v>0</x:v>
      </x:c>
      <x:c r="P24" s="27" t="str">
        <x:v>Channel/segment/booking aggregates support analytics/reporting</x:v>
      </x:c>
      <x:c r="Q24" s="27" t="str"/>
    </x:row>
    <x:row r="25">
      <x:c r="A25" s="27" t="str">
        <x:v>MART-05</x:v>
      </x:c>
      <x:c r="B25" s="27" t="str">
        <x:v>Data Mart</x:v>
      </x:c>
      <x:c r="C25" s="27" t="str">
        <x:v>Cross-domain</x:v>
      </x:c>
      <x:c r="D25" s="27" t="str">
        <x:v>Mart dependency + validation tests</x:v>
      </x:c>
      <x:c r="E25" s="27" t="str">
        <x:v>Low</x:v>
      </x:c>
      <x:c r="F25" s="27" t="str">
        <x:v>Mart/Quality</x:v>
      </x:c>
      <x:c r="G25" s="27" t="str">
        <x:v>Member 2 – Data Engineering / BI</x:v>
      </x:c>
      <x:c r="H25" s="27" t="str">
        <x:v>Member 1 – Architecture / DW / Backend</x:v>
      </x:c>
      <x:c r="I25" s="27" t="str">
        <x:v>P0 – Critical</x:v>
      </x:c>
      <x:c r="J25" s="43" t="n">
        <x:v>46322</x:v>
      </x:c>
      <x:c r="K25" s="43" t="n">
        <x:v>46324</x:v>
      </x:c>
      <x:c r="L25" s="27" t="str">
        <x:v>MART-01; MART-02; MART-03</x:v>
      </x:c>
      <x:c r="M25" s="27" t="str">
        <x:v>Mart validation SQL/report</x:v>
      </x:c>
      <x:c r="N25" s="27" t="str">
        <x:v>Not Started</x:v>
      </x:c>
      <x:c r="O25" s="28" t="n">
        <x:v>0</x:v>
      </x:c>
      <x:c r="P25" s="27" t="str">
        <x:v>Mart totals reconcile với DW; grain rõ; no accidental duplication</x:v>
      </x:c>
      <x:c r="Q25" s="27" t="str"/>
    </x:row>
    <x:row r="26">
      <x:c r="A26" s="27" t="str">
        <x:v>BI-01</x:v>
      </x:c>
      <x:c r="B26" s="27" t="str">
        <x:v>Analytics</x:v>
      </x:c>
      <x:c r="C26" s="27" t="str">
        <x:v>Operations</x:v>
      </x:c>
      <x:c r="D26" s="27" t="str">
        <x:v>OLAP demand trend + holiday/weather impact queries</x:v>
      </x:c>
      <x:c r="E26" s="27" t="str">
        <x:v>Low</x:v>
      </x:c>
      <x:c r="F26" s="27" t="str">
        <x:v>BI</x:v>
      </x:c>
      <x:c r="G26" s="27" t="str">
        <x:v>Member 2 – Data Engineering / BI</x:v>
      </x:c>
      <x:c r="H26" s="27" t="str">
        <x:v>Member 1 – Architecture / DW / Backend</x:v>
      </x:c>
      <x:c r="I26" s="27" t="str">
        <x:v>P0 – Critical</x:v>
      </x:c>
      <x:c r="J26" s="43" t="n">
        <x:v>46322</x:v>
      </x:c>
      <x:c r="K26" s="43" t="n">
        <x:v>46325</x:v>
      </x:c>
      <x:c r="L26" s="27" t="str">
        <x:v>MART-01</x:v>
      </x:c>
      <x:c r="M26" s="27" t="str">
        <x:v>OLAP SQL set</x:v>
      </x:c>
      <x:c r="N26" s="27" t="str">
        <x:v>Not Started</x:v>
      </x:c>
      <x:c r="O26" s="28" t="n">
        <x:v>0</x:v>
      </x:c>
      <x:c r="P26" s="27" t="str">
        <x:v>Có slice/dice/drill-down/roll-up và business insight</x:v>
      </x:c>
      <x:c r="Q26" s="27" t="str"/>
    </x:row>
    <x:row r="27">
      <x:c r="A27" s="27" t="str">
        <x:v>BI-02</x:v>
      </x:c>
      <x:c r="B27" s="27" t="str">
        <x:v>Analytics</x:v>
      </x:c>
      <x:c r="C27" s="27" t="str">
        <x:v>Guest / Customer</x:v>
      </x:c>
      <x:c r="D27" s="27" t="str">
        <x:v>Guest composition + room analysis queries</x:v>
      </x:c>
      <x:c r="E27" s="27" t="str">
        <x:v>Low</x:v>
      </x:c>
      <x:c r="F27" s="27" t="str">
        <x:v>BI</x:v>
      </x:c>
      <x:c r="G27" s="27" t="str">
        <x:v>Member 2 – Data Engineering / BI</x:v>
      </x:c>
      <x:c r="H27" s="27" t="str">
        <x:v>Member 1 – Architecture / DW / Backend</x:v>
      </x:c>
      <x:c r="I27" s="27" t="str">
        <x:v>P1 – High</x:v>
      </x:c>
      <x:c r="J27" s="43" t="n">
        <x:v>46323</x:v>
      </x:c>
      <x:c r="K27" s="43" t="n">
        <x:v>46326</x:v>
      </x:c>
      <x:c r="L27" s="27" t="str">
        <x:v>MART-02</x:v>
      </x:c>
      <x:c r="M27" s="27" t="str">
        <x:v>OLAP SQL set</x:v>
      </x:c>
      <x:c r="N27" s="27" t="str">
        <x:v>Not Started</x:v>
      </x:c>
      <x:c r="O27" s="28" t="n">
        <x:v>0</x:v>
      </x:c>
      <x:c r="P27" s="27" t="str">
        <x:v>Single/couple/family + party size + room mix query được</x:v>
      </x:c>
      <x:c r="Q27" s="27" t="str"/>
    </x:row>
    <x:row r="28">
      <x:c r="A28" s="27" t="str">
        <x:v>BI-03</x:v>
      </x:c>
      <x:c r="B28" s="27" t="str">
        <x:v>Analytics</x:v>
      </x:c>
      <x:c r="C28" s="27" t="str">
        <x:v>Revenue &amp; Cancellation</x:v>
      </x:c>
      <x:c r="D28" s="27" t="str">
        <x:v>Cancellation analytics queries</x:v>
      </x:c>
      <x:c r="E28" s="27" t="str">
        <x:v>Low</x:v>
      </x:c>
      <x:c r="F28" s="27" t="str">
        <x:v>BI</x:v>
      </x:c>
      <x:c r="G28" s="27" t="str">
        <x:v>Member 2 – Data Engineering / BI</x:v>
      </x:c>
      <x:c r="H28" s="27" t="str">
        <x:v>Member 1 – Architecture / DW / Backend</x:v>
      </x:c>
      <x:c r="I28" s="27" t="str">
        <x:v>P0 – Critical</x:v>
      </x:c>
      <x:c r="J28" s="43" t="n">
        <x:v>46323</x:v>
      </x:c>
      <x:c r="K28" s="43" t="n">
        <x:v>46326</x:v>
      </x:c>
      <x:c r="L28" s="27" t="str">
        <x:v>MART-03</x:v>
      </x:c>
      <x:c r="M28" s="27" t="str">
        <x:v>OLAP SQL set</x:v>
      </x:c>
      <x:c r="N28" s="27" t="str">
        <x:v>Not Started</x:v>
      </x:c>
      <x:c r="O28" s="28" t="n">
        <x:v>0</x:v>
      </x:c>
      <x:c r="P28" s="27" t="str">
        <x:v>Trend/channel/lead-time/deposit slices hợp lý</x:v>
      </x:c>
      <x:c r="Q28" s="27" t="str"/>
    </x:row>
    <x:row r="29">
      <x:c r="A29" s="27" t="str">
        <x:v>BI-04</x:v>
      </x:c>
      <x:c r="B29" s="27" t="str">
        <x:v>Analytics</x:v>
      </x:c>
      <x:c r="C29" s="27" t="str">
        <x:v>Booking Performance</x:v>
      </x:c>
      <x:c r="D29" s="27" t="str">
        <x:v>Booking/channel/segment analytics queries</x:v>
      </x:c>
      <x:c r="E29" s="27" t="str">
        <x:v>Low</x:v>
      </x:c>
      <x:c r="F29" s="27" t="str">
        <x:v>BI</x:v>
      </x:c>
      <x:c r="G29" s="27" t="str">
        <x:v>Member 2 – Data Engineering / BI</x:v>
      </x:c>
      <x:c r="H29" s="27" t="str">
        <x:v>Member 1 – Architecture / DW / Backend</x:v>
      </x:c>
      <x:c r="I29" s="27" t="str">
        <x:v>P1 – High</x:v>
      </x:c>
      <x:c r="J29" s="43" t="n">
        <x:v>46324</x:v>
      </x:c>
      <x:c r="K29" s="43" t="n">
        <x:v>46327</x:v>
      </x:c>
      <x:c r="L29" s="27" t="str">
        <x:v>MART-04</x:v>
      </x:c>
      <x:c r="M29" s="27" t="str">
        <x:v>OLAP SQL set</x:v>
      </x:c>
      <x:c r="N29" s="27" t="str">
        <x:v>Not Started</x:v>
      </x:c>
      <x:c r="O29" s="28" t="n">
        <x:v>0</x:v>
      </x:c>
      <x:c r="P29" s="27" t="str">
        <x:v>Query trả lời BR booking performance</x:v>
      </x:c>
      <x:c r="Q29" s="27" t="str"/>
    </x:row>
    <x:row r="30">
      <x:c r="A30" s="27" t="str">
        <x:v>BI-05</x:v>
      </x:c>
      <x:c r="B30" s="27" t="str">
        <x:v>Reporting</x:v>
      </x:c>
      <x:c r="C30" s="27" t="str">
        <x:v>Cross-domain</x:v>
      </x:c>
      <x:c r="D30" s="27" t="str">
        <x:v>Tạo reporting views + KPI reconciliation</x:v>
      </x:c>
      <x:c r="E30" s="27" t="str">
        <x:v>Low</x:v>
      </x:c>
      <x:c r="F30" s="27" t="str">
        <x:v>BI</x:v>
      </x:c>
      <x:c r="G30" s="27" t="str">
        <x:v>Member 2 – Data Engineering / BI</x:v>
      </x:c>
      <x:c r="H30" s="27" t="str">
        <x:v>Member 1 – Architecture / DW / Backend</x:v>
      </x:c>
      <x:c r="I30" s="27" t="str">
        <x:v>P0 – Critical</x:v>
      </x:c>
      <x:c r="J30" s="43" t="n">
        <x:v>46325</x:v>
      </x:c>
      <x:c r="K30" s="43" t="n">
        <x:v>46328</x:v>
      </x:c>
      <x:c r="L30" s="27" t="str">
        <x:v>BI-01; BI-02; BI-03</x:v>
      </x:c>
      <x:c r="M30" s="27" t="str">
        <x:v>Report views + KPI dictionary</x:v>
      </x:c>
      <x:c r="N30" s="27" t="str">
        <x:v>Not Started</x:v>
      </x:c>
      <x:c r="O30" s="28" t="n">
        <x:v>0</x:v>
      </x:c>
      <x:c r="P30" s="27" t="str">
        <x:v>Same filter =&gt; same KPI giữa analytics/report</x:v>
      </x:c>
      <x:c r="Q30" s="27" t="str"/>
    </x:row>
    <x:row r="31">
      <x:c r="A31" s="27" t="str">
        <x:v>API-01</x:v>
      </x:c>
      <x:c r="B31" s="27" t="str">
        <x:v>Application</x:v>
      </x:c>
      <x:c r="C31" s="27" t="str">
        <x:v>Cross-domain</x:v>
      </x:c>
      <x:c r="D31" s="27" t="str">
        <x:v>FastAPI skeleton + DB connection/config</x:v>
      </x:c>
      <x:c r="E31" s="27" t="str">
        <x:v>Low</x:v>
      </x:c>
      <x:c r="F31" s="27" t="str">
        <x:v>Backend</x:v>
      </x:c>
      <x:c r="G31" s="27" t="str">
        <x:v>Member 1 – Architecture / DW / Backend</x:v>
      </x:c>
      <x:c r="H31" s="27" t="str">
        <x:v>Member 3 – Frontend / ML-DSS</x:v>
      </x:c>
      <x:c r="I31" s="27" t="str">
        <x:v>P0 – Critical</x:v>
      </x:c>
      <x:c r="J31" s="43" t="n">
        <x:v>46322</x:v>
      </x:c>
      <x:c r="K31" s="43" t="n">
        <x:v>46324</x:v>
      </x:c>
      <x:c r="L31" s="27" t="str">
        <x:v>DES-02</x:v>
      </x:c>
      <x:c r="M31" s="27" t="str">
        <x:v>backend/app skeleton</x:v>
      </x:c>
      <x:c r="N31" s="27" t="str">
        <x:v>Not Started</x:v>
      </x:c>
      <x:c r="O31" s="28" t="n">
        <x:v>0</x:v>
      </x:c>
      <x:c r="P31" s="27" t="str">
        <x:v>Health endpoint + DB connection hoạt động</x:v>
      </x:c>
      <x:c r="Q31" s="27" t="str"/>
    </x:row>
    <x:row r="32">
      <x:c r="A32" s="27" t="str">
        <x:v>API-02</x:v>
      </x:c>
      <x:c r="B32" s="27" t="str">
        <x:v>Application</x:v>
      </x:c>
      <x:c r="C32" s="27" t="str">
        <x:v>Cross-domain</x:v>
      </x:c>
      <x:c r="D32" s="27" t="str">
        <x:v>Analytics &amp; Reports API endpoints</x:v>
      </x:c>
      <x:c r="E32" s="27" t="str">
        <x:v>Low</x:v>
      </x:c>
      <x:c r="F32" s="27" t="str">
        <x:v>Backend</x:v>
      </x:c>
      <x:c r="G32" s="27" t="str">
        <x:v>Member 1 – Architecture / DW / Backend</x:v>
      </x:c>
      <x:c r="H32" s="27" t="str">
        <x:v>Member 2 – Data Engineering / BI</x:v>
      </x:c>
      <x:c r="I32" s="27" t="str">
        <x:v>P0 – Critical</x:v>
      </x:c>
      <x:c r="J32" s="43" t="n">
        <x:v>46324</x:v>
      </x:c>
      <x:c r="K32" s="43" t="n">
        <x:v>46328</x:v>
      </x:c>
      <x:c r="L32" s="27" t="str">
        <x:v>API-01; BI-05</x:v>
      </x:c>
      <x:c r="M32" s="27" t="str">
        <x:v>REST endpoints + schemas</x:v>
      </x:c>
      <x:c r="N32" s="27" t="str">
        <x:v>Not Started</x:v>
      </x:c>
      <x:c r="O32" s="28" t="n">
        <x:v>0</x:v>
      </x:c>
      <x:c r="P32" s="27" t="str">
        <x:v>API chỉ đọc official marts; response schema ổn định</x:v>
      </x:c>
      <x:c r="Q32" s="27" t="str"/>
    </x:row>
    <x:row r="33">
      <x:c r="A33" s="27" t="str">
        <x:v>API-03</x:v>
      </x:c>
      <x:c r="B33" s="27" t="str">
        <x:v>Application</x:v>
      </x:c>
      <x:c r="C33" s="27" t="str">
        <x:v>Cross-domain</x:v>
      </x:c>
      <x:c r="D33" s="27" t="str">
        <x:v>DSS API contract + model loading service</x:v>
      </x:c>
      <x:c r="E33" s="27" t="str">
        <x:v>Low</x:v>
      </x:c>
      <x:c r="F33" s="27" t="str">
        <x:v>Backend/DSS</x:v>
      </x:c>
      <x:c r="G33" s="27" t="str">
        <x:v>Member 1 – Architecture / DW / Backend</x:v>
      </x:c>
      <x:c r="H33" s="27" t="str">
        <x:v>Member 3 – Frontend / ML-DSS</x:v>
      </x:c>
      <x:c r="I33" s="27" t="str">
        <x:v>P0 – Critical</x:v>
      </x:c>
      <x:c r="J33" s="43" t="n">
        <x:v>46327</x:v>
      </x:c>
      <x:c r="K33" s="43" t="n">
        <x:v>46330</x:v>
      </x:c>
      <x:c r="L33" s="27" t="str">
        <x:v>API-01; ML-05</x:v>
      </x:c>
      <x:c r="M33" s="27" t="str">
        <x:v>DSS REST endpoints</x:v>
      </x:c>
      <x:c r="N33" s="27" t="str">
        <x:v>Not Started</x:v>
      </x:c>
      <x:c r="O33" s="28" t="n">
        <x:v>0</x:v>
      </x:c>
      <x:c r="P33" s="27" t="str">
        <x:v>3 endpoints trả forecast/risk + DSS status/action</x:v>
      </x:c>
      <x:c r="Q33" s="27" t="str"/>
    </x:row>
    <x:row r="34">
      <x:c r="A34" s="27" t="str">
        <x:v>FE-01</x:v>
      </x:c>
      <x:c r="B34" s="27" t="str">
        <x:v>Frontend</x:v>
      </x:c>
      <x:c r="C34" s="27" t="str">
        <x:v>Cross-domain</x:v>
      </x:c>
      <x:c r="D34" s="27" t="str">
        <x:v>React + Vite + Router + layout skeleton</x:v>
      </x:c>
      <x:c r="E34" s="27" t="str">
        <x:v>Low</x:v>
      </x:c>
      <x:c r="F34" s="27" t="str">
        <x:v>Frontend</x:v>
      </x:c>
      <x:c r="G34" s="27" t="str">
        <x:v>Member 3 – Frontend / ML-DSS</x:v>
      </x:c>
      <x:c r="H34" s="27" t="str">
        <x:v>Member 1 – Architecture / DW / Backend</x:v>
      </x:c>
      <x:c r="I34" s="27" t="str">
        <x:v>P0 – Critical</x:v>
      </x:c>
      <x:c r="J34" s="43" t="n">
        <x:v>46322</x:v>
      </x:c>
      <x:c r="K34" s="43" t="n">
        <x:v>46324</x:v>
      </x:c>
      <x:c r="L34" s="27" t="str">
        <x:v>DES-02</x:v>
      </x:c>
      <x:c r="M34" s="27" t="str">
        <x:v>frontend skeleton</x:v>
      </x:c>
      <x:c r="N34" s="27" t="str">
        <x:v>Not Started</x:v>
      </x:c>
      <x:c r="O34" s="28" t="n">
        <x:v>0</x:v>
      </x:c>
      <x:c r="P34" s="27" t="str">
        <x:v>Pages route được; API client config rõ</x:v>
      </x:c>
      <x:c r="Q34" s="27" t="str"/>
    </x:row>
    <x:row r="35">
      <x:c r="A35" s="27" t="str">
        <x:v>FE-02</x:v>
      </x:c>
      <x:c r="B35" s="27" t="str">
        <x:v>Frontend</x:v>
      </x:c>
      <x:c r="C35" s="27" t="str">
        <x:v>Cross-domain</x:v>
      </x:c>
      <x:c r="D35" s="27" t="str">
        <x:v>Analytics pages + filters/charts</x:v>
      </x:c>
      <x:c r="E35" s="27" t="str">
        <x:v>Low</x:v>
      </x:c>
      <x:c r="F35" s="27" t="str">
        <x:v>Frontend</x:v>
      </x:c>
      <x:c r="G35" s="27" t="str">
        <x:v>Member 3 – Frontend / ML-DSS</x:v>
      </x:c>
      <x:c r="H35" s="27" t="str">
        <x:v>Member 2 – Data Engineering / BI</x:v>
      </x:c>
      <x:c r="I35" s="27" t="str">
        <x:v>P0 – Critical</x:v>
      </x:c>
      <x:c r="J35" s="43" t="n">
        <x:v>46325</x:v>
      </x:c>
      <x:c r="K35" s="43" t="n">
        <x:v>46329</x:v>
      </x:c>
      <x:c r="L35" s="27" t="str">
        <x:v>FE-01; API-02</x:v>
      </x:c>
      <x:c r="M35" s="27" t="str">
        <x:v>Analytics UI</x:v>
      </x:c>
      <x:c r="N35" s="27" t="str">
        <x:v>Not Started</x:v>
      </x:c>
      <x:c r="O35" s="28" t="n">
        <x:v>0</x:v>
      </x:c>
      <x:c r="P35" s="27" t="str">
        <x:v>4 Mart domain có các view cần thiết; loading/error states</x:v>
      </x:c>
      <x:c r="Q35" s="27" t="str"/>
    </x:row>
    <x:row r="36">
      <x:c r="A36" s="27" t="str">
        <x:v>FE-03</x:v>
      </x:c>
      <x:c r="B36" s="27" t="str">
        <x:v>Frontend</x:v>
      </x:c>
      <x:c r="C36" s="27" t="str">
        <x:v>Cross-domain</x:v>
      </x:c>
      <x:c r="D36" s="27" t="str">
        <x:v>Reporting pages</x:v>
      </x:c>
      <x:c r="E36" s="27" t="str">
        <x:v>Low</x:v>
      </x:c>
      <x:c r="F36" s="27" t="str">
        <x:v>Frontend</x:v>
      </x:c>
      <x:c r="G36" s="27" t="str">
        <x:v>Member 3 – Frontend / ML-DSS</x:v>
      </x:c>
      <x:c r="H36" s="27" t="str">
        <x:v>Member 2 – Data Engineering / BI</x:v>
      </x:c>
      <x:c r="I36" s="27" t="str">
        <x:v>P1 – High</x:v>
      </x:c>
      <x:c r="J36" s="43" t="n">
        <x:v>46327</x:v>
      </x:c>
      <x:c r="K36" s="43" t="n">
        <x:v>46330</x:v>
      </x:c>
      <x:c r="L36" s="27" t="str">
        <x:v>FE-01; API-02</x:v>
      </x:c>
      <x:c r="M36" s="27" t="str">
        <x:v>Reporting UI</x:v>
      </x:c>
      <x:c r="N36" s="27" t="str">
        <x:v>Not Started</x:v>
      </x:c>
      <x:c r="O36" s="28" t="n">
        <x:v>0</x:v>
      </x:c>
      <x:c r="P36" s="27" t="str">
        <x:v>Fixed KPI/report layout rõ, period/filter đúng</x:v>
      </x:c>
      <x:c r="Q36" s="27" t="str"/>
    </x:row>
    <x:row r="37">
      <x:c r="A37" s="27" t="str">
        <x:v>ML-01</x:v>
      </x:c>
      <x:c r="B37" s="27" t="str">
        <x:v>Mining/DSS</x:v>
      </x:c>
      <x:c r="C37" s="27" t="str">
        <x:v>Operations</x:v>
      </x:c>
      <x:c r="D37" s="27" t="str">
        <x:v>Demand forecast feature pipeline + baseline</x:v>
      </x:c>
      <x:c r="E37" s="27" t="str">
        <x:v>Low</x:v>
      </x:c>
      <x:c r="F37" s="27" t="str">
        <x:v>ML/DSS</x:v>
      </x:c>
      <x:c r="G37" s="27" t="str">
        <x:v>Member 3 – Frontend / ML-DSS</x:v>
      </x:c>
      <x:c r="H37" s="27" t="str">
        <x:v>Member 1 – Architecture / DW / Backend</x:v>
      </x:c>
      <x:c r="I37" s="27" t="str">
        <x:v>P0 – Critical</x:v>
      </x:c>
      <x:c r="J37" s="43" t="n">
        <x:v>46324</x:v>
      </x:c>
      <x:c r="K37" s="43" t="n">
        <x:v>46327</x:v>
      </x:c>
      <x:c r="L37" s="27" t="str">
        <x:v>MART-01; DES-04</x:v>
      </x:c>
      <x:c r="M37" s="27" t="str">
        <x:v>Demand features + baseline metrics</x:v>
      </x:c>
      <x:c r="N37" s="27" t="str">
        <x:v>Not Started</x:v>
      </x:c>
      <x:c r="O37" s="28" t="n">
        <x:v>0</x:v>
      </x:c>
      <x:c r="P37" s="27" t="str">
        <x:v>Time split, no leakage, baseline reproducible</x:v>
      </x:c>
      <x:c r="Q37" s="27" t="str"/>
    </x:row>
    <x:row r="38">
      <x:c r="A38" s="27" t="str">
        <x:v>ML-02</x:v>
      </x:c>
      <x:c r="B38" s="27" t="str">
        <x:v>Mining/DSS</x:v>
      </x:c>
      <x:c r="C38" s="27" t="str">
        <x:v>Guest / Customer</x:v>
      </x:c>
      <x:c r="D38" s="27" t="str">
        <x:v>Guest mix prediction pipeline</x:v>
      </x:c>
      <x:c r="E38" s="27" t="str">
        <x:v>Low</x:v>
      </x:c>
      <x:c r="F38" s="27" t="str">
        <x:v>ML/DSS</x:v>
      </x:c>
      <x:c r="G38" s="27" t="str">
        <x:v>Member 3 – Frontend / ML-DSS</x:v>
      </x:c>
      <x:c r="H38" s="27" t="str">
        <x:v>Member 1 – Architecture / DW / Backend</x:v>
      </x:c>
      <x:c r="I38" s="27" t="str">
        <x:v>P0 – Critical</x:v>
      </x:c>
      <x:c r="J38" s="43" t="n">
        <x:v>46325</x:v>
      </x:c>
      <x:c r="K38" s="43" t="n">
        <x:v>46328</x:v>
      </x:c>
      <x:c r="L38" s="27" t="str">
        <x:v>MART-02; DES-04</x:v>
      </x:c>
      <x:c r="M38" s="27" t="str">
        <x:v>Guest mix model + metrics</x:v>
      </x:c>
      <x:c r="N38" s="27" t="str">
        <x:v>Not Started</x:v>
      </x:c>
      <x:c r="O38" s="28" t="n">
        <x:v>0</x:v>
      </x:c>
      <x:c r="P38" s="27" t="str">
        <x:v>Predict single/couple/family distribution/counts rõ</x:v>
      </x:c>
      <x:c r="Q38" s="27" t="str"/>
    </x:row>
    <x:row r="39">
      <x:c r="A39" s="27" t="str">
        <x:v>ML-03</x:v>
      </x:c>
      <x:c r="B39" s="27" t="str">
        <x:v>Mining/DSS</x:v>
      </x:c>
      <x:c r="C39" s="27" t="str">
        <x:v>Revenue &amp; Cancellation</x:v>
      </x:c>
      <x:c r="D39" s="27" t="str">
        <x:v>Cancellation prediction pipeline</x:v>
      </x:c>
      <x:c r="E39" s="27" t="str">
        <x:v>Low</x:v>
      </x:c>
      <x:c r="F39" s="27" t="str">
        <x:v>ML/DSS</x:v>
      </x:c>
      <x:c r="G39" s="27" t="str">
        <x:v>Member 3 – Frontend / ML-DSS</x:v>
      </x:c>
      <x:c r="H39" s="27" t="str">
        <x:v>Member 1 – Architecture / DW / Backend</x:v>
      </x:c>
      <x:c r="I39" s="27" t="str">
        <x:v>P0 – Critical</x:v>
      </x:c>
      <x:c r="J39" s="43" t="n">
        <x:v>46325</x:v>
      </x:c>
      <x:c r="K39" s="43" t="n">
        <x:v>46328</x:v>
      </x:c>
      <x:c r="L39" s="27" t="str">
        <x:v>MART-03; DES-04</x:v>
      </x:c>
      <x:c r="M39" s="27" t="str">
        <x:v>Cancellation model + metrics</x:v>
      </x:c>
      <x:c r="N39" s="27" t="str">
        <x:v>Not Started</x:v>
      </x:c>
      <x:c r="O39" s="28" t="n">
        <x:v>0</x:v>
      </x:c>
      <x:c r="P39" s="27" t="str">
        <x:v>Booking-level probability or clearly defined aggregate; no leakage</x:v>
      </x:c>
      <x:c r="Q39" s="27" t="str"/>
    </x:row>
    <x:row r="40">
      <x:c r="A40" s="27" t="str">
        <x:v>ML-04</x:v>
      </x:c>
      <x:c r="B40" s="27" t="str">
        <x:v>Mining/DSS</x:v>
      </x:c>
      <x:c r="C40" s="27" t="str">
        <x:v>Cross-domain</x:v>
      </x:c>
      <x:c r="D40" s="27" t="str">
        <x:v>Model comparison + error analysis</x:v>
      </x:c>
      <x:c r="E40" s="27" t="str">
        <x:v>Low</x:v>
      </x:c>
      <x:c r="F40" s="27" t="str">
        <x:v>ML/DSS</x:v>
      </x:c>
      <x:c r="G40" s="27" t="str">
        <x:v>Member 3 – Frontend / ML-DSS</x:v>
      </x:c>
      <x:c r="H40" s="27" t="str">
        <x:v>Member 1 – Architecture / DW / Backend</x:v>
      </x:c>
      <x:c r="I40" s="27" t="str">
        <x:v>P0 – Critical</x:v>
      </x:c>
      <x:c r="J40" s="43" t="n">
        <x:v>46328</x:v>
      </x:c>
      <x:c r="K40" s="43" t="n">
        <x:v>46330</x:v>
      </x:c>
      <x:c r="L40" s="27" t="str">
        <x:v>ML-01; ML-02; ML-03</x:v>
      </x:c>
      <x:c r="M40" s="27" t="str">
        <x:v>Evaluation table + chosen models</x:v>
      </x:c>
      <x:c r="N40" s="27" t="str">
        <x:v>Not Started</x:v>
      </x:c>
      <x:c r="O40" s="28" t="n">
        <x:v>0</x:v>
      </x:c>
      <x:c r="P40" s="27" t="str">
        <x:v>Baseline comparison + rationale model selection</x:v>
      </x:c>
      <x:c r="Q40" s="27" t="str"/>
    </x:row>
    <x:row r="41">
      <x:c r="A41" s="27" t="str">
        <x:v>ML-05</x:v>
      </x:c>
      <x:c r="B41" s="27" t="str">
        <x:v>Mining/DSS</x:v>
      </x:c>
      <x:c r="C41" s="27" t="str">
        <x:v>Cross-domain</x:v>
      </x:c>
      <x:c r="D41" s="27" t="str">
        <x:v>Export model artifacts + inference functions</x:v>
      </x:c>
      <x:c r="E41" s="27" t="str">
        <x:v>Low</x:v>
      </x:c>
      <x:c r="F41" s="27" t="str">
        <x:v>ML/DSS</x:v>
      </x:c>
      <x:c r="G41" s="27" t="str">
        <x:v>Member 3 – Frontend / ML-DSS</x:v>
      </x:c>
      <x:c r="H41" s="27" t="str">
        <x:v>Member 1 – Architecture / DW / Backend</x:v>
      </x:c>
      <x:c r="I41" s="27" t="str">
        <x:v>P0 – Critical</x:v>
      </x:c>
      <x:c r="J41" s="43" t="n">
        <x:v>46329</x:v>
      </x:c>
      <x:c r="K41" s="43" t="n">
        <x:v>46330</x:v>
      </x:c>
      <x:c r="L41" s="27" t="str">
        <x:v>ML-04</x:v>
      </x:c>
      <x:c r="M41" s="27" t="str">
        <x:v>*.joblib + predict functions</x:v>
      </x:c>
      <x:c r="N41" s="27" t="str">
        <x:v>Not Started</x:v>
      </x:c>
      <x:c r="O41" s="28" t="n">
        <x:v>0</x:v>
      </x:c>
      <x:c r="P41" s="27" t="str">
        <x:v>Backend load model mà không retrain; inference reproducible</x:v>
      </x:c>
      <x:c r="Q41" s="27" t="str"/>
    </x:row>
    <x:row r="42">
      <x:c r="A42" s="27" t="str">
        <x:v>DSS-01</x:v>
      </x:c>
      <x:c r="B42" s="27" t="str">
        <x:v>Mining/DSS</x:v>
      </x:c>
      <x:c r="C42" s="27" t="str">
        <x:v>Cross-domain</x:v>
      </x:c>
      <x:c r="D42" s="27" t="str">
        <x:v>DSS rules: HIGH/NORMAL/LOW + suggested actions</x:v>
      </x:c>
      <x:c r="E42" s="27" t="str">
        <x:v>Low</x:v>
      </x:c>
      <x:c r="F42" s="27" t="str">
        <x:v>DSS</x:v>
      </x:c>
      <x:c r="G42" s="27" t="str">
        <x:v>Member 3 – Frontend / ML-DSS</x:v>
      </x:c>
      <x:c r="H42" s="27" t="str">
        <x:v>Member 1 – Architecture / DW / Backend</x:v>
      </x:c>
      <x:c r="I42" s="27" t="str">
        <x:v>P1 – High</x:v>
      </x:c>
      <x:c r="J42" s="43" t="n">
        <x:v>46329</x:v>
      </x:c>
      <x:c r="K42" s="43" t="n">
        <x:v>46330</x:v>
      </x:c>
      <x:c r="L42" s="27" t="str">
        <x:v>ML-04</x:v>
      </x:c>
      <x:c r="M42" s="27" t="str">
        <x:v>DSS rule module</x:v>
      </x:c>
      <x:c r="N42" s="27" t="str">
        <x:v>Not Started</x:v>
      </x:c>
      <x:c r="O42" s="28" t="n">
        <x:v>0</x:v>
      </x:c>
      <x:c r="P42" s="27" t="str">
        <x:v>Rule có rationale; không overclaim optimization</x:v>
      </x:c>
      <x:c r="Q42" s="27" t="str"/>
    </x:row>
    <x:row r="43">
      <x:c r="A43" s="27" t="str">
        <x:v>FE-04</x:v>
      </x:c>
      <x:c r="B43" s="27" t="str">
        <x:v>Frontend</x:v>
      </x:c>
      <x:c r="C43" s="27" t="str">
        <x:v>Cross-domain</x:v>
      </x:c>
      <x:c r="D43" s="27" t="str">
        <x:v>DSS pages cho 3 predictions</x:v>
      </x:c>
      <x:c r="E43" s="27" t="str">
        <x:v>Low</x:v>
      </x:c>
      <x:c r="F43" s="27" t="str">
        <x:v>Frontend/DSS</x:v>
      </x:c>
      <x:c r="G43" s="27" t="str">
        <x:v>Member 3 – Frontend / ML-DSS</x:v>
      </x:c>
      <x:c r="H43" s="27" t="str">
        <x:v>Member 1 – Architecture / DW / Backend</x:v>
      </x:c>
      <x:c r="I43" s="27" t="str">
        <x:v>P0 – Critical</x:v>
      </x:c>
      <x:c r="J43" s="43" t="n">
        <x:v>46330</x:v>
      </x:c>
      <x:c r="K43" s="43" t="n">
        <x:v>46331</x:v>
      </x:c>
      <x:c r="L43" s="27" t="str">
        <x:v>API-03; DSS-01</x:v>
      </x:c>
      <x:c r="M43" s="27" t="str">
        <x:v>3 DSS UI pages</x:v>
      </x:c>
      <x:c r="N43" s="27" t="str">
        <x:v>Not Started</x:v>
      </x:c>
      <x:c r="O43" s="28" t="n">
        <x:v>0</x:v>
      </x:c>
      <x:c r="P43" s="27" t="str">
        <x:v>Forecast/risk/status/action render rõ; charts/tables đúng</x:v>
      </x:c>
      <x:c r="Q43" s="27" t="str"/>
    </x:row>
    <x:row r="44">
      <x:c r="A44" s="27" t="str">
        <x:v>DEV-01</x:v>
      </x:c>
      <x:c r="B44" s="27" t="str">
        <x:v>DevOps</x:v>
      </x:c>
      <x:c r="C44" s="27" t="str">
        <x:v>Cross-domain</x:v>
      </x:c>
      <x:c r="D44" s="27" t="str">
        <x:v>Dockerfile frontend/backend/pipeline</x:v>
      </x:c>
      <x:c r="E44" s="27" t="str">
        <x:v>Low</x:v>
      </x:c>
      <x:c r="F44" s="27" t="str">
        <x:v>DevOps</x:v>
      </x:c>
      <x:c r="G44" s="27" t="str">
        <x:v>Member 1 – Architecture / DW / Backend</x:v>
      </x:c>
      <x:c r="H44" s="27" t="str">
        <x:v>Member 3 – Frontend / ML-DSS</x:v>
      </x:c>
      <x:c r="I44" s="27" t="str">
        <x:v>P1 – High</x:v>
      </x:c>
      <x:c r="J44" s="43" t="n">
        <x:v>46328</x:v>
      </x:c>
      <x:c r="K44" s="43" t="n">
        <x:v>46330</x:v>
      </x:c>
      <x:c r="L44" s="27" t="str">
        <x:v>API-01; FE-01</x:v>
      </x:c>
      <x:c r="M44" s="27" t="str">
        <x:v>3 Dockerfiles</x:v>
      </x:c>
      <x:c r="N44" s="27" t="str">
        <x:v>Not Started</x:v>
      </x:c>
      <x:c r="O44" s="28" t="n">
        <x:v>0</x:v>
      </x:c>
      <x:c r="P44" s="27" t="str">
        <x:v>Images build được độc lập</x:v>
      </x:c>
      <x:c r="Q44" s="27" t="str"/>
    </x:row>
    <x:row r="45">
      <x:c r="A45" s="27" t="str">
        <x:v>DEV-02</x:v>
      </x:c>
      <x:c r="B45" s="27" t="str">
        <x:v>DevOps</x:v>
      </x:c>
      <x:c r="C45" s="27" t="str">
        <x:v>Cross-domain</x:v>
      </x:c>
      <x:c r="D45" s="27" t="str">
        <x:v>Docker Compose: frontend/backend/db/etl</x:v>
      </x:c>
      <x:c r="E45" s="27" t="str">
        <x:v>Low</x:v>
      </x:c>
      <x:c r="F45" s="27" t="str">
        <x:v>DevOps</x:v>
      </x:c>
      <x:c r="G45" s="27" t="str">
        <x:v>Member 1 – Architecture / DW / Backend</x:v>
      </x:c>
      <x:c r="H45" s="27" t="str">
        <x:v>Member 2 – Data Engineering / BI; Member 3 – Frontend / ML-DSS</x:v>
      </x:c>
      <x:c r="I45" s="27" t="str">
        <x:v>P0 – Critical</x:v>
      </x:c>
      <x:c r="J45" s="43" t="n">
        <x:v>46330</x:v>
      </x:c>
      <x:c r="K45" s="43" t="n">
        <x:v>46332</x:v>
      </x:c>
      <x:c r="L45" s="27" t="str">
        <x:v>DEV-01</x:v>
      </x:c>
      <x:c r="M45" s="27" t="str">
        <x:v>docker-compose.yml + .env.example</x:v>
      </x:c>
      <x:c r="N45" s="27" t="str">
        <x:v>Not Started</x:v>
      </x:c>
      <x:c r="O45" s="28" t="n">
        <x:v>0</x:v>
      </x:c>
      <x:c r="P45" s="27" t="str">
        <x:v>docker compose up --build chạy; DB persistent</x:v>
      </x:c>
      <x:c r="Q45" s="27" t="str"/>
    </x:row>
    <x:row r="46">
      <x:c r="A46" s="27" t="str">
        <x:v>INT-01</x:v>
      </x:c>
      <x:c r="B46" s="27" t="str">
        <x:v>Integration</x:v>
      </x:c>
      <x:c r="C46" s="27" t="str">
        <x:v>Cross-domain</x:v>
      </x:c>
      <x:c r="D46" s="27" t="str">
        <x:v>End-to-end run Raw → Staging → DW → Mart → API → React</x:v>
      </x:c>
      <x:c r="E46" s="27" t="str">
        <x:v>High</x:v>
      </x:c>
      <x:c r="F46" s="27" t="str">
        <x:v>Integration</x:v>
      </x:c>
      <x:c r="G46" s="27" t="str">
        <x:v>Member 1 – Architecture / DW / Backend</x:v>
      </x:c>
      <x:c r="H46" s="27" t="str">
        <x:v>Member 2 – Data Engineering / BI; Member 3 – Frontend / ML-DSS</x:v>
      </x:c>
      <x:c r="I46" s="27" t="str">
        <x:v>P0 – Critical</x:v>
      </x:c>
      <x:c r="J46" s="43" t="n">
        <x:v>46331</x:v>
      </x:c>
      <x:c r="K46" s="43" t="n">
        <x:v>46333</x:v>
      </x:c>
      <x:c r="L46" s="27" t="str">
        <x:v>DEV-02; FE-04</x:v>
      </x:c>
      <x:c r="M46" s="27" t="str">
        <x:v>Integrated release candidate</x:v>
      </x:c>
      <x:c r="N46" s="27" t="str">
        <x:v>Not Started</x:v>
      </x:c>
      <x:c r="O46" s="28" t="n">
        <x:v>0</x:v>
      </x:c>
      <x:c r="P46" s="27" t="str">
        <x:v>Không sửa tay data; core flows chạy từ đầu đến cuối</x:v>
      </x:c>
      <x:c r="Q46" s="27" t="str"/>
    </x:row>
    <x:row r="47">
      <x:c r="A47" s="27" t="str">
        <x:v>QA-01</x:v>
      </x:c>
      <x:c r="B47" s="27" t="str">
        <x:v>Integration</x:v>
      </x:c>
      <x:c r="C47" s="27" t="str">
        <x:v>Cross-domain</x:v>
      </x:c>
      <x:c r="D47" s="27" t="str">
        <x:v>KPI/data reconciliation + API/UI validation</x:v>
      </x:c>
      <x:c r="E47" s="27" t="str">
        <x:v>Low</x:v>
      </x:c>
      <x:c r="F47" s="27" t="str">
        <x:v>QA</x:v>
      </x:c>
      <x:c r="G47" s="27" t="str">
        <x:v>Member 2 – Data Engineering / BI</x:v>
      </x:c>
      <x:c r="H47" s="27" t="str">
        <x:v>Member 1 – Architecture / DW / Backend; Member 3 – Frontend / ML-DSS</x:v>
      </x:c>
      <x:c r="I47" s="27" t="str">
        <x:v>P0 – Critical</x:v>
      </x:c>
      <x:c r="J47" s="43" t="n">
        <x:v>46332</x:v>
      </x:c>
      <x:c r="K47" s="43" t="n">
        <x:v>46333</x:v>
      </x:c>
      <x:c r="L47" s="27" t="str">
        <x:v>INT-01</x:v>
      </x:c>
      <x:c r="M47" s="27" t="str">
        <x:v>QA checklist + evidence</x:v>
      </x:c>
      <x:c r="N47" s="27" t="str">
        <x:v>Not Started</x:v>
      </x:c>
      <x:c r="O47" s="28" t="n">
        <x:v>0</x:v>
      </x:c>
      <x:c r="P47" s="27" t="str">
        <x:v>No inconsistent KPI; sample trace raw→UI thành công</x:v>
      </x:c>
      <x:c r="Q47" s="27" t="str"/>
    </x:row>
    <x:row r="48">
      <x:c r="A48" s="27" t="str">
        <x:v>DOC-01</x:v>
      </x:c>
      <x:c r="B48" s="27" t="str">
        <x:v>Documentation</x:v>
      </x:c>
      <x:c r="C48" s="27" t="str">
        <x:v>Cross-domain</x:v>
      </x:c>
      <x:c r="D48" s="27" t="str">
        <x:v>Chốt architecture/schema/API/demo documentation</x:v>
      </x:c>
      <x:c r="E48" s="27" t="str">
        <x:v>High</x:v>
      </x:c>
      <x:c r="F48" s="27" t="str">
        <x:v>Documentation</x:v>
      </x:c>
      <x:c r="G48" s="27" t="str">
        <x:v>Member 1 – Architecture / DW / Backend</x:v>
      </x:c>
      <x:c r="H48" s="27" t="str">
        <x:v>Member 2 – Data Engineering / BI; Member 3 – Frontend / ML-DSS</x:v>
      </x:c>
      <x:c r="I48" s="27" t="str">
        <x:v>P0 – Critical</x:v>
      </x:c>
      <x:c r="J48" s="43" t="n">
        <x:v>46332</x:v>
      </x:c>
      <x:c r="K48" s="43" t="n">
        <x:v>46334</x:v>
      </x:c>
      <x:c r="L48" s="27" t="str">
        <x:v>INT-01</x:v>
      </x:c>
      <x:c r="M48" s="27" t="str">
        <x:v>Final docs + screenshots</x:v>
      </x:c>
      <x:c r="N48" s="27" t="str">
        <x:v>Not Started</x:v>
      </x:c>
      <x:c r="O48" s="28" t="n">
        <x:v>0</x:v>
      </x:c>
      <x:c r="P48" s="27" t="str">
        <x:v>Người khác đọc README có thể dựng và hiểu hệ thống</x:v>
      </x:c>
      <x:c r="Q48" s="27" t="str"/>
    </x:row>
    <x:row r="49">
      <x:c r="A49" s="27" t="str">
        <x:v>DEMO-01</x:v>
      </x:c>
      <x:c r="B49" s="27" t="str">
        <x:v>Demo</x:v>
      </x:c>
      <x:c r="C49" s="27" t="str">
        <x:v>Cross-domain</x:v>
      </x:c>
      <x:c r="D49" s="27" t="str">
        <x:v>Dry run + backup demo assets</x:v>
      </x:c>
      <x:c r="E49" s="27" t="str">
        <x:v>High</x:v>
      </x:c>
      <x:c r="F49" s="27" t="str">
        <x:v>Demo</x:v>
      </x:c>
      <x:c r="G49" s="27" t="str">
        <x:v>Member 1 – Architecture / DW / Backend</x:v>
      </x:c>
      <x:c r="H49" s="27" t="str">
        <x:v>Member 2 – Data Engineering / BI; Member 3 – Frontend / ML-DSS</x:v>
      </x:c>
      <x:c r="I49" s="27" t="str">
        <x:v>P0 – Critical</x:v>
      </x:c>
      <x:c r="J49" s="43" t="n">
        <x:v>46334</x:v>
      </x:c>
      <x:c r="K49" s="43" t="n">
        <x:v>46335</x:v>
      </x:c>
      <x:c r="L49" s="27" t="str">
        <x:v>QA-01; DOC-01</x:v>
      </x:c>
      <x:c r="M49" s="27" t="str">
        <x:v>Demo script + backup screenshots/data</x:v>
      </x:c>
      <x:c r="N49" s="27" t="str">
        <x:v>Not Started</x:v>
      </x:c>
      <x:c r="O49" s="28" t="n">
        <x:v>0</x:v>
      </x:c>
      <x:c r="P49" s="27" t="str">
        <x:v>Full demo chạy trong thời gian mục tiêu; có fallback</x:v>
      </x:c>
      <x:c r="Q49" s="27" t="str"/>
    </x:row>
    <x:row r="50">
      <x:c r="A50" s="27" t="str">
        <x:v>FINAL-01</x:v>
      </x:c>
      <x:c r="B50" s="27" t="str">
        <x:v>Final</x:v>
      </x:c>
      <x:c r="C50" s="27" t="str">
        <x:v>Cross-domain</x:v>
      </x:c>
      <x:c r="D50" s="27" t="str">
        <x:v>Freeze release và nộp</x:v>
      </x:c>
      <x:c r="E50" s="27" t="str">
        <x:v>High</x:v>
      </x:c>
      <x:c r="F50" s="27" t="str">
        <x:v>Release</x:v>
      </x:c>
      <x:c r="G50" s="27" t="str">
        <x:v>All</x:v>
      </x:c>
      <x:c r="H50" s="27" t="str">
        <x:v>All</x:v>
      </x:c>
      <x:c r="I50" s="27" t="str">
        <x:v>P0 – Critical</x:v>
      </x:c>
      <x:c r="J50" s="43" t="n">
        <x:v>46336</x:v>
      </x:c>
      <x:c r="K50" s="43" t="n">
        <x:v>46336</x:v>
      </x:c>
      <x:c r="L50" s="27" t="str">
        <x:v>DEMO-01</x:v>
      </x:c>
      <x:c r="M50" s="27" t="str">
        <x:v>Final repository/submission</x:v>
      </x:c>
      <x:c r="N50" s="27" t="str">
        <x:v>Not Started</x:v>
      </x:c>
      <x:c r="O50" s="28" t="n">
        <x:v>0</x:v>
      </x:c>
      <x:c r="P50" s="27" t="str">
        <x:v>Không thêm feature mới; stable release</x:v>
      </x:c>
      <x:c r="Q50" s="27" t="str"/>
    </x:row>
  </x:sheetData>
  <x:conditionalFormatting sqref="N2:N50">
    <x:cfRule type="expression" dxfId="0" priority="1">
      <x:formula>N2="Done"</x:formula>
    </x:cfRule>
    <x:cfRule type="expression" dxfId="1" priority="2">
      <x:formula>N2="In Progress"</x:formula>
    </x:cfRule>
    <x:cfRule type="expression" dxfId="2" priority="3">
      <x:formula>N2="Blocked"</x:formula>
    </x:cfRule>
    <x:cfRule type="expression" dxfId="3" priority="4">
      <x:formula>N2="Review"</x:formula>
    </x:cfRule>
  </x:conditionalFormatting>
  <x:conditionalFormatting sqref="O2:O50">
    <x:cfRule type="dataBar" priority="5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{3AADAE54-07EA-D6E1-4A16-E62C4DC29663}</x14:id>
        </x:ext>
      </x:extLst>
    </x:cfRule>
  </x:conditionalFormatting>
  <x:conditionalFormatting sqref="I2:I50">
    <x:cfRule type="expression" dxfId="4" priority="6">
      <x:formula>LEFT(I2,2)="P0"</x:formula>
    </x:cfRule>
    <x:cfRule type="expression" dxfId="5" priority="7">
      <x:formula>LEFT(I2,2)="P1"</x:formula>
    </x:cfRule>
    <x:cfRule type="expression" dxfId="6" priority="8">
      <x:formula>LEFT(I2,2)="P2"</x:formula>
    </x:cfRule>
  </x:conditionalFormatting>
  <x:dataValidations count="3">
    <x:dataValidation type="list" sqref="G2:G50">
      <x:formula1>"Member 1 – Architecture / DW / Backend,Member 2 – Data Engineering / BI,Member 3 – Frontend / ML-DSS,All"</x:formula1>
    </x:dataValidation>
    <x:dataValidation type="list" sqref="I2:I50">
      <x:formula1>"P0 – Critical,P1 – High,P2 – Medium,P3 – Nice-to-have"</x:formula1>
    </x:dataValidation>
    <x:dataValidation type="list" sqref="N2:N50">
      <x:formula1>"Not Started,In Progress,Blocked,Review,Done"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3AADAE54-07EA-D6E1-4A16-E62C4DC29663}">
            <x14:dataBar gradient="1">
              <x14:cfvo type="min"/>
              <x14:cfvo type="max"/>
              <x14:fillColor rgb="FF5B9BD5"/>
            </x14:dataBar>
          </x14:cfRule>
          <xm:sqref>O2:O50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34" hidden="0" customWidth="1"/>
    <x:col min="5" max="5" width="42" hidden="0" customWidth="1"/>
    <x:col min="6" max="6" width="22" hidden="0" customWidth="1"/>
    <x:col min="7" max="7" width="25" hidden="0" customWidth="1"/>
    <x:col min="8" max="8" width="35" hidden="0" customWidth="1"/>
  </x:cols>
  <x:sheetData>
    <x:row r="1">
      <x:c r="A1" s="48" t="str">
        <x:v>Phase</x:v>
      </x:c>
      <x:c r="B1" s="48" t="str">
        <x:v>Start</x:v>
      </x:c>
      <x:c r="C1" s="48" t="str">
        <x:v>End</x:v>
      </x:c>
      <x:c r="D1" s="48" t="str">
        <x:v>Primary Owner</x:v>
      </x:c>
      <x:c r="E1" s="48" t="str">
        <x:v>Key Outputs</x:v>
      </x:c>
      <x:c r="F1" s="48" t="str">
        <x:v>Gate</x:v>
      </x:c>
      <x:c r="G1" s="48" t="str">
        <x:v>Dependency</x:v>
      </x:c>
      <x:c r="H1" s="48" t="str">
        <x:v>Risk / Buffer Note</x:v>
      </x:c>
    </x:row>
    <x:row r="2">
      <x:c r="A2" s="27" t="str">
        <x:v>Architecture &amp; Business Design</x:v>
      </x:c>
      <x:c r="B2" s="43" t="n">
        <x:v>46300</x:v>
      </x:c>
      <x:c r="C2" s="43" t="n">
        <x:v>46303</x:v>
      </x:c>
      <x:c r="D2" s="27" t="str">
        <x:v>Member 1 – Architecture / DW / Backend</x:v>
      </x:c>
      <x:c r="E2" s="27" t="str">
        <x:v>BR matrix, architecture, contracts, KPIs/targets</x:v>
      </x:c>
      <x:c r="F2" s="27" t="str">
        <x:v>DESIGN BASELINE</x:v>
      </x:c>
      <x:c r="G2" s="27" t="str">
        <x:v>-</x:v>
      </x:c>
      <x:c r="H2" s="27" t="str">
        <x:v>Chốt sớm để tránh downstream rework</x:v>
      </x:c>
    </x:row>
    <x:row r="3">
      <x:c r="A3" s="27" t="str">
        <x:v>Sources + Profiling</x:v>
      </x:c>
      <x:c r="B3" s="43" t="n">
        <x:v>46303</x:v>
      </x:c>
      <x:c r="C3" s="43" t="n">
        <x:v>46308</x:v>
      </x:c>
      <x:c r="D3" s="27" t="str">
        <x:v>Member 2 – Data Engineering / BI</x:v>
      </x:c>
      <x:c r="E3" s="27" t="str">
        <x:v>Raw sources, dictionaries, profiling</x:v>
      </x:c>
      <x:c r="F3" s="27" t="str">
        <x:v>DATA READY</x:v>
      </x:c>
      <x:c r="G3" s="27" t="str">
        <x:v>Design baseline</x:v>
      </x:c>
      <x:c r="H3" s="27" t="str">
        <x:v>Event source là optional</x:v>
      </x:c>
    </x:row>
    <x:row r="4">
      <x:c r="A4" s="27" t="str">
        <x:v>Staging + ETL Foundation</x:v>
      </x:c>
      <x:c r="B4" s="43" t="n">
        <x:v>46309</x:v>
      </x:c>
      <x:c r="C4" s="43" t="n">
        <x:v>46314</x:v>
      </x:c>
      <x:c r="D4" s="27" t="str">
        <x:v>Member 2 – Data Engineering / BI</x:v>
      </x:c>
      <x:c r="E4" s="27" t="str">
        <x:v>Staging, loaders, quality, transform rules</x:v>
      </x:c>
      <x:c r="F4" s="27" t="str">
        <x:v>STAGING READY</x:v>
      </x:c>
      <x:c r="G4" s="27" t="str">
        <x:v>Sources</x:v>
      </x:c>
      <x:c r="H4" s="27" t="str">
        <x:v>Không ETL quá nhiều trước khi profiling</x:v>
      </x:c>
    </x:row>
    <x:row r="5">
      <x:c r="A5" s="27" t="str">
        <x:v>DW Core</x:v>
      </x:c>
      <x:c r="B5" s="43" t="n">
        <x:v>46313</x:v>
      </x:c>
      <x:c r="C5" s="43" t="n">
        <x:v>46320</x:v>
      </x:c>
      <x:c r="D5" s="27" t="str">
        <x:v>Member 1 – Architecture / DW / Backend</x:v>
      </x:c>
      <x:c r="E5" s="27" t="str">
        <x:v>Star schema, DDL, loaded facts/dims</x:v>
      </x:c>
      <x:c r="F5" s="27" t="str">
        <x:v>SCHEMA FREEZE</x:v>
      </x:c>
      <x:c r="G5" s="27" t="str">
        <x:v>ETL foundation</x:v>
      </x:c>
      <x:c r="H5" s="27" t="str">
        <x:v>Overlap 2 ngày với ETL để tối ưu lịch</x:v>
      </x:c>
    </x:row>
    <x:row r="6">
      <x:c r="A6" s="27" t="str">
        <x:v>Data Marts + OLAP</x:v>
      </x:c>
      <x:c r="B6" s="43" t="n">
        <x:v>46320</x:v>
      </x:c>
      <x:c r="C6" s="43" t="n">
        <x:v>46326</x:v>
      </x:c>
      <x:c r="D6" s="27" t="str">
        <x:v>Member 1 – Architecture / DW / Backend / Member 2 – Data Engineering / BI</x:v>
      </x:c>
      <x:c r="E6" s="27" t="str">
        <x:v>4 Mart domains, OLAP SQL, report views</x:v>
      </x:c>
      <x:c r="F6" s="27" t="str">
        <x:v>MART READY</x:v>
      </x:c>
      <x:c r="G6" s="27" t="str">
        <x:v>DW core</x:v>
      </x:c>
      <x:c r="H6" s="27" t="str">
        <x:v>Mart phải reconcile với DW</x:v>
      </x:c>
    </x:row>
    <x:row r="7">
      <x:c r="A7" s="27" t="str">
        <x:v>Web Skeleton + APIs</x:v>
      </x:c>
      <x:c r="B7" s="43" t="n">
        <x:v>46322</x:v>
      </x:c>
      <x:c r="C7" s="43" t="n">
        <x:v>46328</x:v>
      </x:c>
      <x:c r="D7" s="27" t="str">
        <x:v>Member 1 – Architecture / DW / Backend / Member 3 – Frontend / ML-DSS</x:v>
      </x:c>
      <x:c r="E7" s="27" t="str">
        <x:v>FastAPI + React skeleton + analytics APIs</x:v>
      </x:c>
      <x:c r="F7" s="27" t="str">
        <x:v>APP BASELINE</x:v>
      </x:c>
      <x:c r="G7" s="27" t="str">
        <x:v>Marts evolving</x:v>
      </x:c>
      <x:c r="H7" s="27" t="str">
        <x:v>Có thể mock API trước, chuyển official data sau</x:v>
      </x:c>
    </x:row>
    <x:row r="8">
      <x:c r="A8" s="27" t="str">
        <x:v>ML/DSS</x:v>
      </x:c>
      <x:c r="B8" s="43" t="n">
        <x:v>46324</x:v>
      </x:c>
      <x:c r="C8" s="43" t="n">
        <x:v>46331</x:v>
      </x:c>
      <x:c r="D8" s="27" t="str">
        <x:v>Member 3 – Frontend / ML-DSS</x:v>
      </x:c>
      <x:c r="E8" s="27" t="str">
        <x:v>3 models, evaluation, DSS rules/pages</x:v>
      </x:c>
      <x:c r="F8" s="27" t="str">
        <x:v>FEATURE COMPLETE</x:v>
      </x:c>
      <x:c r="G8" s="27" t="str">
        <x:v>Official marts</x:v>
      </x:c>
      <x:c r="H8" s="27" t="str">
        <x:v>Ưu tiên baseline trước, tránh model sprawl</x:v>
      </x:c>
    </x:row>
    <x:row r="9">
      <x:c r="A9" s="27" t="str">
        <x:v>Docker + Integration</x:v>
      </x:c>
      <x:c r="B9" s="43" t="n">
        <x:v>46330</x:v>
      </x:c>
      <x:c r="C9" s="43" t="n">
        <x:v>46333</x:v>
      </x:c>
      <x:c r="D9" s="27" t="str">
        <x:v>Member 1 – Architecture / DW / Backend</x:v>
      </x:c>
      <x:c r="E9" s="27" t="str">
        <x:v>Docker Compose + E2E run</x:v>
      </x:c>
      <x:c r="F9" s="27" t="str">
        <x:v>INTEGRATION FREEZE</x:v>
      </x:c>
      <x:c r="G9" s="27" t="str">
        <x:v>App + ML + ETL</x:v>
      </x:c>
      <x:c r="H9" s="27" t="str">
        <x:v>Test trên máy thành viên khác</x:v>
      </x:c>
    </x:row>
    <x:row r="10">
      <x:c r="A10" s="27" t="str">
        <x:v>QA + Documentation</x:v>
      </x:c>
      <x:c r="B10" s="43" t="n">
        <x:v>46332</x:v>
      </x:c>
      <x:c r="C10" s="43" t="n">
        <x:v>46334</x:v>
      </x:c>
      <x:c r="D10" s="27" t="str">
        <x:v>All</x:v>
      </x:c>
      <x:c r="E10" s="27" t="str">
        <x:v>Reconciliation, docs, screenshots</x:v>
      </x:c>
      <x:c r="F10" s="27" t="str">
        <x:v>REPORT FREEZE</x:v>
      </x:c>
      <x:c r="G10" s="27" t="str">
        <x:v>Integrated release</x:v>
      </x:c>
      <x:c r="H10" s="27" t="str">
        <x:v>Chỉ fix inconsistency/blocker</x:v>
      </x:c>
    </x:row>
    <x:row r="11">
      <x:c r="A11" s="27" t="str">
        <x:v>Dry Run + Final</x:v>
      </x:c>
      <x:c r="B11" s="43" t="n">
        <x:v>46334</x:v>
      </x:c>
      <x:c r="C11" s="43" t="n">
        <x:v>46336</x:v>
      </x:c>
      <x:c r="D11" s="27" t="str">
        <x:v>All</x:v>
      </x:c>
      <x:c r="E11" s="27" t="str">
        <x:v>Demo script, backup, final release</x:v>
      </x:c>
      <x:c r="F11" s="27" t="str">
        <x:v>FINAL</x:v>
      </x:c>
      <x:c r="G11" s="27" t="str">
        <x:v>QA complete</x:v>
      </x:c>
      <x:c r="H11" s="27" t="str">
        <x:v>09/11 không thêm feature mới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30" hidden="0" customWidth="1"/>
    <x:col min="4" max="4" width="30" hidden="0" customWidth="1"/>
    <x:col min="5" max="5" width="40" hidden="0" customWidth="1"/>
  </x:cols>
  <x:sheetData>
    <x:row r="1">
      <x:c r="A1" s="48" t="str">
        <x:v>Area / Decision</x:v>
      </x:c>
      <x:c r="B1" s="48" t="str">
        <x:v>Member 1 – Architecture / DW / Backend</x:v>
      </x:c>
      <x:c r="C1" s="48" t="str">
        <x:v>Member 2 – Data Engineering / BI</x:v>
      </x:c>
      <x:c r="D1" s="48" t="str">
        <x:v>Member 3 – Frontend / ML-DSS</x:v>
      </x:c>
      <x:c r="E1" s="48" t="str">
        <x:v>Notes</x:v>
      </x:c>
    </x:row>
    <x:row r="2">
      <x:c r="A2" s="27" t="str">
        <x:v>Business requirements &amp; architecture</x:v>
      </x:c>
      <x:c r="B2" s="27" t="str">
        <x:v>A/R</x:v>
      </x:c>
      <x:c r="C2" s="27" t="str">
        <x:v>C</x:v>
      </x:c>
      <x:c r="D2" s="27" t="str">
        <x:v>C</x:v>
      </x:c>
      <x:c r="E2" s="27" t="str">
        <x:v>Member 1 owns design; cả nhóm review</x:v>
      </x:c>
    </x:row>
    <x:row r="3">
      <x:c r="A3" s="27" t="str">
        <x:v>Source selection &amp; profiling</x:v>
      </x:c>
      <x:c r="B3" s="27" t="str">
        <x:v>C</x:v>
      </x:c>
      <x:c r="C3" s="27" t="str">
        <x:v>A/R</x:v>
      </x:c>
      <x:c r="D3" s="27" t="str">
        <x:v>C</x:v>
      </x:c>
      <x:c r="E3" s="27" t="str">
        <x:v>Member 2 owns data feasibility</x:v>
      </x:c>
    </x:row>
    <x:row r="4">
      <x:c r="A4" s="27" t="str">
        <x:v>Staging &amp; Source→Staging ETL</x:v>
      </x:c>
      <x:c r="B4" s="27" t="str">
        <x:v>C</x:v>
      </x:c>
      <x:c r="C4" s="27" t="str">
        <x:v>A/R</x:v>
      </x:c>
      <x:c r="D4" s="27" t="str">
        <x:v>I</x:v>
      </x:c>
      <x:c r="E4" s="27" t="str"/>
    </x:row>
    <x:row r="5">
      <x:c r="A5" s="27" t="str">
        <x:v>Staging→DW ETL</x:v>
      </x:c>
      <x:c r="B5" s="27" t="str">
        <x:v>A</x:v>
      </x:c>
      <x:c r="C5" s="27" t="str">
        <x:v>R</x:v>
      </x:c>
      <x:c r="D5" s="27" t="str">
        <x:v>I</x:v>
      </x:c>
      <x:c r="E5" s="27" t="str">
        <x:v>Member 1 owns target model; Member 2 implementation</x:v>
      </x:c>
    </x:row>
    <x:row r="6">
      <x:c r="A6" s="27" t="str">
        <x:v>DW schema / grain / KPI definition</x:v>
      </x:c>
      <x:c r="B6" s="27" t="str">
        <x:v>A/R</x:v>
      </x:c>
      <x:c r="C6" s="27" t="str">
        <x:v>C</x:v>
      </x:c>
      <x:c r="D6" s="27" t="str">
        <x:v>C</x:v>
      </x:c>
      <x:c r="E6" s="27" t="str">
        <x:v>Schema freeze cần cả nhóm hiểu</x:v>
      </x:c>
    </x:row>
    <x:row r="7">
      <x:c r="A7" s="27" t="str">
        <x:v>Data Mart design</x:v>
      </x:c>
      <x:c r="B7" s="27" t="str">
        <x:v>A/R</x:v>
      </x:c>
      <x:c r="C7" s="27" t="str">
        <x:v>C</x:v>
      </x:c>
      <x:c r="D7" s="27" t="str">
        <x:v>C</x:v>
      </x:c>
      <x:c r="E7" s="27" t="str">
        <x:v>Theo business domain</x:v>
      </x:c>
    </x:row>
    <x:row r="8">
      <x:c r="A8" s="27" t="str">
        <x:v>DW→Mart ETL</x:v>
      </x:c>
      <x:c r="B8" s="27" t="str">
        <x:v>A</x:v>
      </x:c>
      <x:c r="C8" s="27" t="str">
        <x:v>R</x:v>
      </x:c>
      <x:c r="D8" s="27" t="str">
        <x:v>C</x:v>
      </x:c>
      <x:c r="E8" s="27" t="str"/>
    </x:row>
    <x:row r="9">
      <x:c r="A9" s="27" t="str">
        <x:v>OLAP SQL / Analytics data</x:v>
      </x:c>
      <x:c r="B9" s="27" t="str">
        <x:v>C</x:v>
      </x:c>
      <x:c r="C9" s="27" t="str">
        <x:v>A/R</x:v>
      </x:c>
      <x:c r="D9" s="27" t="str">
        <x:v>C</x:v>
      </x:c>
      <x:c r="E9" s="27" t="str">
        <x:v>Member 3 consumes through API/UI</x:v>
      </x:c>
    </x:row>
    <x:row r="10">
      <x:c r="A10" s="27" t="str">
        <x:v>Reporting views / KPI reconciliation</x:v>
      </x:c>
      <x:c r="B10" s="27" t="str">
        <x:v>A</x:v>
      </x:c>
      <x:c r="C10" s="27" t="str">
        <x:v>R</x:v>
      </x:c>
      <x:c r="D10" s="27" t="str">
        <x:v>C</x:v>
      </x:c>
      <x:c r="E10" s="27" t="str"/>
    </x:row>
    <x:row r="11">
      <x:c r="A11" s="27" t="str">
        <x:v>FastAPI / API contracts</x:v>
      </x:c>
      <x:c r="B11" s="27" t="str">
        <x:v>A/R</x:v>
      </x:c>
      <x:c r="C11" s="27" t="str">
        <x:v>C</x:v>
      </x:c>
      <x:c r="D11" s="27" t="str">
        <x:v>C</x:v>
      </x:c>
      <x:c r="E11" s="27" t="str"/>
    </x:row>
    <x:row r="12">
      <x:c r="A12" s="27" t="str">
        <x:v>React frontend</x:v>
      </x:c>
      <x:c r="B12" s="27" t="str">
        <x:v>C</x:v>
      </x:c>
      <x:c r="C12" s="27" t="str">
        <x:v>I</x:v>
      </x:c>
      <x:c r="D12" s="27" t="str">
        <x:v>A/R</x:v>
      </x:c>
      <x:c r="E12" s="27" t="str"/>
    </x:row>
    <x:row r="13">
      <x:c r="A13" s="27" t="str">
        <x:v>Demand forecasting</x:v>
      </x:c>
      <x:c r="B13" s="27" t="str">
        <x:v>C</x:v>
      </x:c>
      <x:c r="C13" s="27" t="str">
        <x:v>C</x:v>
      </x:c>
      <x:c r="D13" s="27" t="str">
        <x:v>A/R</x:v>
      </x:c>
      <x:c r="E13" s="27" t="str"/>
    </x:row>
    <x:row r="14">
      <x:c r="A14" s="27" t="str">
        <x:v>Guest mix prediction</x:v>
      </x:c>
      <x:c r="B14" s="27" t="str">
        <x:v>C</x:v>
      </x:c>
      <x:c r="C14" s="27" t="str">
        <x:v>C</x:v>
      </x:c>
      <x:c r="D14" s="27" t="str">
        <x:v>A/R</x:v>
      </x:c>
      <x:c r="E14" s="27" t="str"/>
    </x:row>
    <x:row r="15">
      <x:c r="A15" s="27" t="str">
        <x:v>Cancellation prediction</x:v>
      </x:c>
      <x:c r="B15" s="27" t="str">
        <x:v>C</x:v>
      </x:c>
      <x:c r="C15" s="27" t="str">
        <x:v>C</x:v>
      </x:c>
      <x:c r="D15" s="27" t="str">
        <x:v>A/R</x:v>
      </x:c>
      <x:c r="E15" s="27" t="str"/>
    </x:row>
    <x:row r="16">
      <x:c r="A16" s="27" t="str">
        <x:v>DSS rules / UX</x:v>
      </x:c>
      <x:c r="B16" s="27" t="str">
        <x:v>C</x:v>
      </x:c>
      <x:c r="C16" s="27" t="str">
        <x:v>C</x:v>
      </x:c>
      <x:c r="D16" s="27" t="str">
        <x:v>A/R</x:v>
      </x:c>
      <x:c r="E16" s="27" t="str"/>
    </x:row>
    <x:row r="17">
      <x:c r="A17" s="27" t="str">
        <x:v>Docker / deployment</x:v>
      </x:c>
      <x:c r="B17" s="27" t="str">
        <x:v>A/R</x:v>
      </x:c>
      <x:c r="C17" s="27" t="str">
        <x:v>C</x:v>
      </x:c>
      <x:c r="D17" s="27" t="str">
        <x:v>C</x:v>
      </x:c>
      <x:c r="E17" s="27" t="str"/>
    </x:row>
    <x:row r="18">
      <x:c r="A18" s="27" t="str">
        <x:v>End-to-end integration</x:v>
      </x:c>
      <x:c r="B18" s="27" t="str">
        <x:v>A/R</x:v>
      </x:c>
      <x:c r="C18" s="27" t="str">
        <x:v>R</x:v>
      </x:c>
      <x:c r="D18" s="27" t="str">
        <x:v>R</x:v>
      </x:c>
      <x:c r="E18" s="27" t="str">
        <x:v>Tất cả cùng chịu trách nhiệm thực thi</x:v>
      </x:c>
    </x:row>
    <x:row r="19">
      <x:c r="A19" s="27" t="str">
        <x:v>QA / KPI reconciliation</x:v>
      </x:c>
      <x:c r="B19" s="27" t="str">
        <x:v>A</x:v>
      </x:c>
      <x:c r="C19" s="27" t="str">
        <x:v>R</x:v>
      </x:c>
      <x:c r="D19" s="27" t="str">
        <x:v>R</x:v>
      </x:c>
      <x:c r="E19" s="27" t="str"/>
    </x:row>
    <x:row r="20">
      <x:c r="A20" s="27" t="str">
        <x:v>Final documentation / demo</x:v>
      </x:c>
      <x:c r="B20" s="27" t="str">
        <x:v>A/R</x:v>
      </x:c>
      <x:c r="C20" s="27" t="str">
        <x:v>R</x:v>
      </x:c>
      <x:c r="D20" s="27" t="str">
        <x:v>R</x:v>
      </x:c>
      <x:c r="E20" s="27" t="str"/>
    </x:row>
    <x:row r="22">
      <x:c r="A22" s="55" t="str">
        <x:v>Legend: R = Responsible (thực hiện) | A = Accountable (chịu trách nhiệm cuối) | C = Consulted | I = Informed</x:v>
      </x:c>
      <x:c r="B22" s="55"/>
      <x:c r="C22" s="55"/>
      <x:c r="D22" s="55"/>
      <x:c r="E22" s="55"/>
    </x:row>
  </x:sheetData>
  <x:mergeCells>
    <x:mergeCell ref="A22:E2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44" hidden="0" customWidth="1"/>
    <x:col min="4" max="4" width="31" hidden="0" customWidth="1"/>
    <x:col min="5" max="5" width="12" hidden="0" customWidth="1"/>
    <x:col min="6" max="6" width="14" hidden="0" customWidth="1"/>
    <x:col min="7" max="7" width="14" hidden="0" customWidth="1"/>
    <x:col min="8" max="8" width="11" hidden="0" customWidth="1"/>
    <x:col min="9" max="9" width="48" hidden="0" customWidth="1"/>
    <x:col min="10" max="10" width="20" hidden="0" customWidth="1"/>
  </x:cols>
  <x:sheetData>
    <x:row r="1">
      <x:c r="A1" s="48" t="str">
        <x:v>ID</x:v>
      </x:c>
      <x:c r="B1" s="48" t="str">
        <x:v>Phase</x:v>
      </x:c>
      <x:c r="C1" s="48" t="str">
        <x:v>Task</x:v>
      </x:c>
      <x:c r="D1" s="48" t="str">
        <x:v>Owner</x:v>
      </x:c>
      <x:c r="E1" s="48" t="str">
        <x:v>Due</x:v>
      </x:c>
      <x:c r="F1" s="48" t="str">
        <x:v>Priority</x:v>
      </x:c>
      <x:c r="G1" s="48" t="str">
        <x:v>Status</x:v>
      </x:c>
      <x:c r="H1" s="48" t="str">
        <x:v>Progress</x:v>
      </x:c>
      <x:c r="I1" s="48" t="str">
        <x:v>Done Criteria</x:v>
      </x:c>
      <x:c r="J1" s="48" t="str">
        <x:v>Dependency</x:v>
      </x:c>
    </x:row>
    <x:row r="2">
      <x:c r="A2" s="27" t="str">
        <x:f>'Work Breakdown'!A2</x:f>
        <x:v>DES-01</x:v>
      </x:c>
      <x:c r="B2" s="27" t="str">
        <x:f>'Work Breakdown'!B2</x:f>
        <x:v>Design</x:v>
      </x:c>
      <x:c r="C2" s="27" t="str">
        <x:f>'Work Breakdown'!D2</x:f>
        <x:v>Chốt business domains và Business Requirements</x:v>
      </x:c>
      <x:c r="D2" s="27" t="str">
        <x:f>'Work Breakdown'!G2</x:f>
        <x:v>Member 1 – Architecture / DW / Backend</x:v>
      </x:c>
      <x:c r="E2" s="43" t="n">
        <x:f>'Work Breakdown'!K2</x:f>
        <x:v>46301</x:v>
      </x:c>
      <x:c r="F2" s="27" t="str">
        <x:f>'Work Breakdown'!I2</x:f>
        <x:v>P0 – Critical</x:v>
      </x:c>
      <x:c r="G2" s="27" t="str">
        <x:f>'Work Breakdown'!N2</x:f>
        <x:v>In Progress</x:v>
      </x:c>
      <x:c r="H2" s="28" t="n">
        <x:f>'Work Breakdown'!O2</x:f>
        <x:v>0.5</x:v>
      </x:c>
      <x:c r="I2" s="27" t="str">
        <x:f>'Work Breakdown'!P2</x:f>
        <x:v>4 Mart hợp lý; 3 DSS targets rõ; mỗi BR có output dự kiến</x:v>
      </x:c>
      <x:c r="J2" s="27" t="str">
        <x:f>'Work Breakdown'!L2</x:f>
      </x:c>
    </x:row>
    <x:row r="3">
      <x:c r="A3" s="27" t="str">
        <x:f>'Work Breakdown'!A3</x:f>
        <x:v>DES-02</x:v>
      </x:c>
      <x:c r="B3" s="27" t="str">
        <x:f>'Work Breakdown'!B3</x:f>
        <x:v>Design</x:v>
      </x:c>
      <x:c r="C3" s="27" t="str">
        <x:f>'Work Breakdown'!D3</x:f>
        <x:v>Chốt system architecture và technology stack</x:v>
      </x:c>
      <x:c r="D3" s="27" t="str">
        <x:f>'Work Breakdown'!G3</x:f>
        <x:v>Member 1 – Architecture / DW / Backend</x:v>
      </x:c>
      <x:c r="E3" s="43" t="n">
        <x:f>'Work Breakdown'!K3</x:f>
        <x:v>46302</x:v>
      </x:c>
      <x:c r="F3" s="27" t="str">
        <x:f>'Work Breakdown'!I3</x:f>
        <x:v>P0 – Critical</x:v>
      </x:c>
      <x:c r="G3" s="27" t="str">
        <x:f>'Work Breakdown'!N3</x:f>
        <x:v>In Progress</x:v>
      </x:c>
      <x:c r="H3" s="28" t="n">
        <x:f>'Work Breakdown'!O3</x:f>
        <x:v>0.6</x:v>
      </x:c>
      <x:c r="I3" s="27" t="str">
        <x:f>'Work Breakdown'!P3</x:f>
        <x:v>React/FastAPI/PostgreSQL/ETL/ML/Docker roles rõ; không overlap trách nhiệm</x:v>
      </x:c>
      <x:c r="J3" s="27" t="str">
        <x:f>'Work Breakdown'!L3</x:f>
        <x:v>DES-01</x:v>
      </x:c>
    </x:row>
    <x:row r="4">
      <x:c r="A4" s="27" t="str">
        <x:f>'Work Breakdown'!A4</x:f>
        <x:v>DES-03</x:v>
      </x:c>
      <x:c r="B4" s="27" t="str">
        <x:f>'Work Breakdown'!B4</x:f>
        <x:v>Design</x:v>
      </x:c>
      <x:c r="C4" s="27" t="str">
        <x:f>'Work Breakdown'!D4</x:f>
        <x:v>Định nghĩa data contracts giữa Raw → Staging → DW → Mart → API</x:v>
      </x:c>
      <x:c r="D4" s="27" t="str">
        <x:f>'Work Breakdown'!G4</x:f>
        <x:v>Member 1 – Architecture / DW / Backend</x:v>
      </x:c>
      <x:c r="E4" s="43" t="n">
        <x:f>'Work Breakdown'!K4</x:f>
        <x:v>46303</x:v>
      </x:c>
      <x:c r="F4" s="27" t="str">
        <x:f>'Work Breakdown'!I4</x:f>
        <x:v>P0 – Critical</x:v>
      </x:c>
      <x:c r="G4" s="27" t="str">
        <x:f>'Work Breakdown'!N4</x:f>
        <x:v>Not Started</x:v>
      </x:c>
      <x:c r="H4" s="28" t="n">
        <x:f>'Work Breakdown'!O4</x:f>
        <x:v>0</x:v>
      </x:c>
      <x:c r="I4" s="27" t="str">
        <x:f>'Work Breakdown'!P4</x:f>
        <x:v>Input/output/schema expectations và validation tại mỗi boundary</x:v>
      </x:c>
      <x:c r="J4" s="27" t="str">
        <x:f>'Work Breakdown'!L4</x:f>
        <x:v>DES-02</x:v>
      </x:c>
    </x:row>
    <x:row r="5">
      <x:c r="A5" s="27" t="str">
        <x:f>'Work Breakdown'!A5</x:f>
        <x:v>DES-04</x:v>
      </x:c>
      <x:c r="B5" s="27" t="str">
        <x:f>'Work Breakdown'!B5</x:f>
        <x:v>Design</x:v>
      </x:c>
      <x:c r="C5" s="27" t="str">
        <x:f>'Work Breakdown'!D5</x:f>
        <x:v>Chốt KPI dictionary và 3 ML targets</x:v>
      </x:c>
      <x:c r="D5" s="27" t="str">
        <x:f>'Work Breakdown'!G5</x:f>
        <x:v>Member 1 – Architecture / DW / Backend</x:v>
      </x:c>
      <x:c r="E5" s="43" t="n">
        <x:f>'Work Breakdown'!K5</x:f>
        <x:v>46303</x:v>
      </x:c>
      <x:c r="F5" s="27" t="str">
        <x:f>'Work Breakdown'!I5</x:f>
        <x:v>P0 – Critical</x:v>
      </x:c>
      <x:c r="G5" s="27" t="str">
        <x:f>'Work Breakdown'!N5</x:f>
        <x:v>Not Started</x:v>
      </x:c>
      <x:c r="H5" s="28" t="n">
        <x:f>'Work Breakdown'!O5</x:f>
        <x:v>0</x:v>
      </x:c>
      <x:c r="I5" s="27" t="str">
        <x:f>'Work Breakdown'!P5</x:f>
        <x:v>Demand, guest mix, cancellation target không mơ hồ; công thức KPI thống nhất</x:v>
      </x:c>
      <x:c r="J5" s="27" t="str">
        <x:f>'Work Breakdown'!L5</x:f>
        <x:v>DES-01</x:v>
      </x:c>
    </x:row>
    <x:row r="6">
      <x:c r="A6" s="27" t="str">
        <x:f>'Work Breakdown'!A6</x:f>
        <x:v>SRC-01</x:v>
      </x:c>
      <x:c r="B6" s="27" t="str">
        <x:f>'Work Breakdown'!B6</x:f>
        <x:v>Sources</x:v>
      </x:c>
      <x:c r="C6" s="27" t="str">
        <x:f>'Work Breakdown'!D6</x:f>
        <x:v>Thu Hotel Booking raw dataset và data dictionary</x:v>
      </x:c>
      <x:c r="D6" s="27" t="str">
        <x:f>'Work Breakdown'!G6</x:f>
        <x:v>Member 2 – Data Engineering / BI</x:v>
      </x:c>
      <x:c r="E6" s="43" t="n">
        <x:f>'Work Breakdown'!K6</x:f>
        <x:v>46304</x:v>
      </x:c>
      <x:c r="F6" s="27" t="str">
        <x:f>'Work Breakdown'!I6</x:f>
        <x:v>P0 – Critical</x:v>
      </x:c>
      <x:c r="G6" s="27" t="str">
        <x:f>'Work Breakdown'!N6</x:f>
        <x:v>Not Started</x:v>
      </x:c>
      <x:c r="H6" s="28" t="n">
        <x:f>'Work Breakdown'!O6</x:f>
        <x:v>0</x:v>
      </x:c>
      <x:c r="I6" s="27" t="str">
        <x:f>'Work Breakdown'!P6</x:f>
        <x:v>Raw immutable; fields mapped to BR</x:v>
      </x:c>
      <x:c r="J6" s="27" t="str">
        <x:f>'Work Breakdown'!L6</x:f>
        <x:v>DES-01</x:v>
      </x:c>
    </x:row>
    <x:row r="7">
      <x:c r="A7" s="27" t="str">
        <x:f>'Work Breakdown'!A7</x:f>
        <x:v>SRC-02</x:v>
      </x:c>
      <x:c r="B7" s="27" t="str">
        <x:f>'Work Breakdown'!B7</x:f>
        <x:v>Sources</x:v>
      </x:c>
      <x:c r="C7" s="27" t="str">
        <x:f>'Work Breakdown'!D7</x:f>
        <x:v>Thu weather source phù hợp thời gian/location</x:v>
      </x:c>
      <x:c r="D7" s="27" t="str">
        <x:f>'Work Breakdown'!G7</x:f>
        <x:v>Member 2 – Data Engineering / BI</x:v>
      </x:c>
      <x:c r="E7" s="43" t="n">
        <x:f>'Work Breakdown'!K7</x:f>
        <x:v>46305</x:v>
      </x:c>
      <x:c r="F7" s="27" t="str">
        <x:f>'Work Breakdown'!I7</x:f>
        <x:v>P0 – Critical</x:v>
      </x:c>
      <x:c r="G7" s="27" t="str">
        <x:f>'Work Breakdown'!N7</x:f>
        <x:v>Not Started</x:v>
      </x:c>
      <x:c r="H7" s="28" t="n">
        <x:f>'Work Breakdown'!O7</x:f>
        <x:v>0</x:v>
      </x:c>
      <x:c r="I7" s="27" t="str">
        <x:f>'Work Breakdown'!P7</x:f>
        <x:v>Có date/location/temp/precipitation; provenance rõ</x:v>
      </x:c>
      <x:c r="J7" s="27" t="str">
        <x:f>'Work Breakdown'!L7</x:f>
        <x:v>DES-01</x:v>
      </x:c>
    </x:row>
    <x:row r="8">
      <x:c r="A8" s="27" t="str">
        <x:f>'Work Breakdown'!A8</x:f>
        <x:v>SRC-03</x:v>
      </x:c>
      <x:c r="B8" s="27" t="str">
        <x:f>'Work Breakdown'!B8</x:f>
        <x:v>Sources</x:v>
      </x:c>
      <x:c r="C8" s="27" t="str">
        <x:f>'Work Breakdown'!D8</x:f>
        <x:v>Thu holiday/calendar source</x:v>
      </x:c>
      <x:c r="D8" s="27" t="str">
        <x:f>'Work Breakdown'!G8</x:f>
        <x:v>Member 2 – Data Engineering / BI</x:v>
      </x:c>
      <x:c r="E8" s="43" t="n">
        <x:f>'Work Breakdown'!K8</x:f>
        <x:v>46305</x:v>
      </x:c>
      <x:c r="F8" s="27" t="str">
        <x:f>'Work Breakdown'!I8</x:f>
        <x:v>P0 – Critical</x:v>
      </x:c>
      <x:c r="G8" s="27" t="str">
        <x:f>'Work Breakdown'!N8</x:f>
        <x:v>Not Started</x:v>
      </x:c>
      <x:c r="H8" s="28" t="n">
        <x:f>'Work Breakdown'!O8</x:f>
        <x:v>0</x:v>
      </x:c>
      <x:c r="I8" s="27" t="str">
        <x:f>'Work Breakdown'!P8</x:f>
        <x:v>Có date/holiday/country-region; có thể tạo is_holiday</x:v>
      </x:c>
      <x:c r="J8" s="27" t="str">
        <x:f>'Work Breakdown'!L8</x:f>
        <x:v>DES-01</x:v>
      </x:c>
    </x:row>
    <x:row r="9">
      <x:c r="A9" s="27" t="str">
        <x:f>'Work Breakdown'!A9</x:f>
        <x:v>SRC-04</x:v>
      </x:c>
      <x:c r="B9" s="27" t="str">
        <x:f>'Work Breakdown'!B9</x:f>
        <x:v>Sources</x:v>
      </x:c>
      <x:c r="C9" s="27" t="str">
        <x:f>'Work Breakdown'!D9</x:f>
        <x:v>Đánh giá event source (optional)</x:v>
      </x:c>
      <x:c r="D9" s="27" t="str">
        <x:f>'Work Breakdown'!G9</x:f>
        <x:v>Member 2 – Data Engineering / BI</x:v>
      </x:c>
      <x:c r="E9" s="43" t="n">
        <x:f>'Work Breakdown'!K9</x:f>
        <x:v>46307</x:v>
      </x:c>
      <x:c r="F9" s="27" t="str">
        <x:f>'Work Breakdown'!I9</x:f>
        <x:v>P2 – Medium</x:v>
      </x:c>
      <x:c r="G9" s="27" t="str">
        <x:f>'Work Breakdown'!N9</x:f>
        <x:v>Not Started</x:v>
      </x:c>
      <x:c r="H9" s="28" t="n">
        <x:f>'Work Breakdown'!O9</x:f>
        <x:v>0</x:v>
      </x:c>
      <x:c r="I9" s="27" t="str">
        <x:f>'Work Breakdown'!P9</x:f>
        <x:v>Không dùng nguồn yếu chỉ để tăng source count</x:v>
      </x:c>
      <x:c r="J9" s="27" t="str">
        <x:f>'Work Breakdown'!L9</x:f>
        <x:v>DES-01</x:v>
      </x:c>
    </x:row>
    <x:row r="10">
      <x:c r="A10" s="27" t="str">
        <x:f>'Work Breakdown'!A10</x:f>
        <x:v>SRC-05</x:v>
      </x:c>
      <x:c r="B10" s="27" t="str">
        <x:f>'Work Breakdown'!B10</x:f>
        <x:v>Sources</x:v>
      </x:c>
      <x:c r="C10" s="27" t="str">
        <x:f>'Work Breakdown'!D10</x:f>
        <x:v>Profiling tất cả sources</x:v>
      </x:c>
      <x:c r="D10" s="27" t="str">
        <x:f>'Work Breakdown'!G10</x:f>
        <x:v>Member 2 – Data Engineering / BI</x:v>
      </x:c>
      <x:c r="E10" s="43" t="n">
        <x:f>'Work Breakdown'!K10</x:f>
        <x:v>46308</x:v>
      </x:c>
      <x:c r="F10" s="27" t="str">
        <x:f>'Work Breakdown'!I10</x:f>
        <x:v>P0 – Critical</x:v>
      </x:c>
      <x:c r="G10" s="27" t="str">
        <x:f>'Work Breakdown'!N10</x:f>
        <x:v>Not Started</x:v>
      </x:c>
      <x:c r="H10" s="28" t="n">
        <x:f>'Work Breakdown'!O10</x:f>
        <x:v>0</x:v>
      </x:c>
      <x:c r="I10" s="27" t="str">
        <x:f>'Work Breakdown'!P10</x:f>
        <x:v>Null/duplicate/type/outlier/key/date issues được ghi nhận</x:v>
      </x:c>
      <x:c r="J10" s="27" t="str">
        <x:f>'Work Breakdown'!L10</x:f>
        <x:v>SRC-01; SRC-02; SRC-03</x:v>
      </x:c>
    </x:row>
    <x:row r="11">
      <x:c r="A11" s="27" t="str">
        <x:f>'Work Breakdown'!A11</x:f>
        <x:v>ETL-01</x:v>
      </x:c>
      <x:c r="B11" s="27" t="str">
        <x:f>'Work Breakdown'!B11</x:f>
        <x:v>Staging/ETL</x:v>
      </x:c>
      <x:c r="C11" s="27" t="str">
        <x:f>'Work Breakdown'!D11</x:f>
        <x:v>Tạo staging schema + DDL</x:v>
      </x:c>
      <x:c r="D11" s="27" t="str">
        <x:f>'Work Breakdown'!G11</x:f>
        <x:v>Member 2 – Data Engineering / BI</x:v>
      </x:c>
      <x:c r="E11" s="43" t="n">
        <x:f>'Work Breakdown'!K11</x:f>
        <x:v>46310</x:v>
      </x:c>
      <x:c r="F11" s="27" t="str">
        <x:f>'Work Breakdown'!I11</x:f>
        <x:v>P0 – Critical</x:v>
      </x:c>
      <x:c r="G11" s="27" t="str">
        <x:f>'Work Breakdown'!N11</x:f>
        <x:v>Not Started</x:v>
      </x:c>
      <x:c r="H11" s="28" t="n">
        <x:f>'Work Breakdown'!O11</x:f>
        <x:v>0</x:v>
      </x:c>
      <x:c r="I11" s="27" t="str">
        <x:f>'Work Breakdown'!P11</x:f>
        <x:v>stg_booking/weather/holiday; metadata batch/source fields</x:v>
      </x:c>
      <x:c r="J11" s="27" t="str">
        <x:f>'Work Breakdown'!L11</x:f>
        <x:v>SRC-05</x:v>
      </x:c>
    </x:row>
    <x:row r="12">
      <x:c r="A12" s="27" t="str">
        <x:f>'Work Breakdown'!A12</x:f>
        <x:v>ETL-02</x:v>
      </x:c>
      <x:c r="B12" s="27" t="str">
        <x:f>'Work Breakdown'!B12</x:f>
        <x:v>Staging/ETL</x:v>
      </x:c>
      <x:c r="C12" s="27" t="str">
        <x:f>'Work Breakdown'!D12</x:f>
        <x:v>Source → Staging loaders</x:v>
      </x:c>
      <x:c r="D12" s="27" t="str">
        <x:f>'Work Breakdown'!G12</x:f>
        <x:v>Member 2 – Data Engineering / BI</x:v>
      </x:c>
      <x:c r="E12" s="43" t="n">
        <x:f>'Work Breakdown'!K12</x:f>
        <x:v>46312</x:v>
      </x:c>
      <x:c r="F12" s="27" t="str">
        <x:f>'Work Breakdown'!I12</x:f>
        <x:v>P0 – Critical</x:v>
      </x:c>
      <x:c r="G12" s="27" t="str">
        <x:f>'Work Breakdown'!N12</x:f>
        <x:v>Not Started</x:v>
      </x:c>
      <x:c r="H12" s="28" t="n">
        <x:f>'Work Breakdown'!O12</x:f>
        <x:v>0</x:v>
      </x:c>
      <x:c r="I12" s="27" t="str">
        <x:f>'Work Breakdown'!P12</x:f>
        <x:v>Row reconciliation; traceability; rerun predictable</x:v>
      </x:c>
      <x:c r="J12" s="27" t="str">
        <x:f>'Work Breakdown'!L12</x:f>
        <x:v>ETL-01</x:v>
      </x:c>
    </x:row>
    <x:row r="13">
      <x:c r="A13" s="27" t="str">
        <x:f>'Work Breakdown'!A13</x:f>
        <x:v>ETL-03</x:v>
      </x:c>
      <x:c r="B13" s="27" t="str">
        <x:f>'Work Breakdown'!B13</x:f>
        <x:v>Staging/ETL</x:v>
      </x:c>
      <x:c r="C13" s="27" t="str">
        <x:f>'Work Breakdown'!D13</x:f>
        <x:v>Data quality checks cho staging</x:v>
      </x:c>
      <x:c r="D13" s="27" t="str">
        <x:f>'Work Breakdown'!G13</x:f>
        <x:v>Member 2 – Data Engineering / BI</x:v>
      </x:c>
      <x:c r="E13" s="43" t="n">
        <x:f>'Work Breakdown'!K13</x:f>
        <x:v>46313</x:v>
      </x:c>
      <x:c r="F13" s="27" t="str">
        <x:f>'Work Breakdown'!I13</x:f>
        <x:v>P0 – Critical</x:v>
      </x:c>
      <x:c r="G13" s="27" t="str">
        <x:f>'Work Breakdown'!N13</x:f>
        <x:v>Not Started</x:v>
      </x:c>
      <x:c r="H13" s="28" t="n">
        <x:f>'Work Breakdown'!O13</x:f>
        <x:v>0</x:v>
      </x:c>
      <x:c r="I13" s="27" t="str">
        <x:f>'Work Breakdown'!P13</x:f>
        <x:v>Required cols, invalid dates, duplicates, ranges checked</x:v>
      </x:c>
      <x:c r="J13" s="27" t="str">
        <x:f>'Work Breakdown'!L13</x:f>
        <x:v>ETL-02</x:v>
      </x:c>
    </x:row>
    <x:row r="14">
      <x:c r="A14" s="27" t="str">
        <x:f>'Work Breakdown'!A14</x:f>
        <x:v>ETL-04</x:v>
      </x:c>
      <x:c r="B14" s="27" t="str">
        <x:f>'Work Breakdown'!B14</x:f>
        <x:v>Staging/ETL</x:v>
      </x:c>
      <x:c r="C14" s="27" t="str">
        <x:f>'Work Breakdown'!D14</x:f>
        <x:v>Transformation rules: dates/categories/missing/outliers</x:v>
      </x:c>
      <x:c r="D14" s="27" t="str">
        <x:f>'Work Breakdown'!G14</x:f>
        <x:v>Member 2 – Data Engineering / BI</x:v>
      </x:c>
      <x:c r="E14" s="43" t="n">
        <x:f>'Work Breakdown'!K14</x:f>
        <x:v>46314</x:v>
      </x:c>
      <x:c r="F14" s="27" t="str">
        <x:f>'Work Breakdown'!I14</x:f>
        <x:v>P0 – Critical</x:v>
      </x:c>
      <x:c r="G14" s="27" t="str">
        <x:f>'Work Breakdown'!N14</x:f>
        <x:v>Not Started</x:v>
      </x:c>
      <x:c r="H14" s="28" t="n">
        <x:f>'Work Breakdown'!O14</x:f>
        <x:v>0</x:v>
      </x:c>
      <x:c r="I14" s="27" t="str">
        <x:f>'Work Breakdown'!P14</x:f>
        <x:v>Không drop/null tùy tiện; mỗi rule có lý do</x:v>
      </x:c>
      <x:c r="J14" s="27" t="str">
        <x:f>'Work Breakdown'!L14</x:f>
        <x:v>SRC-05</x:v>
      </x:c>
    </x:row>
    <x:row r="15">
      <x:c r="A15" s="27" t="str">
        <x:f>'Work Breakdown'!A15</x:f>
        <x:v>ETL-05</x:v>
      </x:c>
      <x:c r="B15" s="27" t="str">
        <x:f>'Work Breakdown'!B15</x:f>
        <x:v>Staging/ETL</x:v>
      </x:c>
      <x:c r="C15" s="27" t="str">
        <x:f>'Work Breakdown'!D15</x:f>
        <x:v>Integrate booking + holiday + weather</x:v>
      </x:c>
      <x:c r="D15" s="27" t="str">
        <x:f>'Work Breakdown'!G15</x:f>
        <x:v>Member 2 – Data Engineering / BI</x:v>
      </x:c>
      <x:c r="E15" s="43" t="n">
        <x:f>'Work Breakdown'!K15</x:f>
        <x:v>46316</x:v>
      </x:c>
      <x:c r="F15" s="27" t="str">
        <x:f>'Work Breakdown'!I15</x:f>
        <x:v>P0 – Critical</x:v>
      </x:c>
      <x:c r="G15" s="27" t="str">
        <x:f>'Work Breakdown'!N15</x:f>
        <x:v>Not Started</x:v>
      </x:c>
      <x:c r="H15" s="28" t="n">
        <x:f>'Work Breakdown'!O15</x:f>
        <x:v>0</x:v>
      </x:c>
      <x:c r="I15" s="27" t="str">
        <x:f>'Work Breakdown'!P15</x:f>
        <x:v>Join assumptions rõ; coverage rate được đo</x:v>
      </x:c>
      <x:c r="J15" s="27" t="str">
        <x:f>'Work Breakdown'!L15</x:f>
        <x:v>ETL-04</x:v>
      </x:c>
    </x:row>
    <x:row r="16">
      <x:c r="A16" s="27" t="str">
        <x:f>'Work Breakdown'!A16</x:f>
        <x:v>DW-01</x:v>
      </x:c>
      <x:c r="B16" s="27" t="str">
        <x:f>'Work Breakdown'!B16</x:f>
        <x:v>Data Warehouse</x:v>
      </x:c>
      <x:c r="C16" s="27" t="str">
        <x:f>'Work Breakdown'!D16</x:f>
        <x:v>Chốt grain và star schema</x:v>
      </x:c>
      <x:c r="D16" s="27" t="str">
        <x:f>'Work Breakdown'!G16</x:f>
        <x:v>Member 1 – Architecture / DW / Backend</x:v>
      </x:c>
      <x:c r="E16" s="43" t="n">
        <x:f>'Work Breakdown'!K16</x:f>
        <x:v>46315</x:v>
      </x:c>
      <x:c r="F16" s="27" t="str">
        <x:f>'Work Breakdown'!I16</x:f>
        <x:v>P0 – Critical</x:v>
      </x:c>
      <x:c r="G16" s="27" t="str">
        <x:f>'Work Breakdown'!N16</x:f>
        <x:v>Not Started</x:v>
      </x:c>
      <x:c r="H16" s="28" t="n">
        <x:f>'Work Breakdown'!O16</x:f>
        <x:v>0</x:v>
      </x:c>
      <x:c r="I16" s="27" t="str">
        <x:f>'Work Breakdown'!P16</x:f>
        <x:v>Fact grain viết thành câu; dimensions/measures rõ</x:v>
      </x:c>
      <x:c r="J16" s="27" t="str">
        <x:f>'Work Breakdown'!L16</x:f>
        <x:v>DES-03; SRC-05</x:v>
      </x:c>
    </x:row>
    <x:row r="17">
      <x:c r="A17" s="27" t="str">
        <x:f>'Work Breakdown'!A17</x:f>
        <x:v>DW-02</x:v>
      </x:c>
      <x:c r="B17" s="27" t="str">
        <x:f>'Work Breakdown'!B17</x:f>
        <x:v>Data Warehouse</x:v>
      </x:c>
      <x:c r="C17" s="27" t="str">
        <x:f>'Work Breakdown'!D17</x:f>
        <x:v>Tạo DW DDL, PK/FK/indexes</x:v>
      </x:c>
      <x:c r="D17" s="27" t="str">
        <x:f>'Work Breakdown'!G17</x:f>
        <x:v>Member 1 – Architecture / DW / Backend</x:v>
      </x:c>
      <x:c r="E17" s="43" t="n">
        <x:f>'Work Breakdown'!K17</x:f>
        <x:v>46317</x:v>
      </x:c>
      <x:c r="F17" s="27" t="str">
        <x:f>'Work Breakdown'!I17</x:f>
        <x:v>P0 – Critical</x:v>
      </x:c>
      <x:c r="G17" s="27" t="str">
        <x:f>'Work Breakdown'!N17</x:f>
        <x:v>Not Started</x:v>
      </x:c>
      <x:c r="H17" s="28" t="n">
        <x:f>'Work Breakdown'!O17</x:f>
        <x:v>0</x:v>
      </x:c>
      <x:c r="I17" s="27" t="str">
        <x:f>'Work Breakdown'!P17</x:f>
        <x:v>DDL chạy sạch; PK/FK/index hợp lý</x:v>
      </x:c>
      <x:c r="J17" s="27" t="str">
        <x:f>'Work Breakdown'!L17</x:f>
        <x:v>DW-01</x:v>
      </x:c>
    </x:row>
    <x:row r="18">
      <x:c r="A18" s="27" t="str">
        <x:f>'Work Breakdown'!A18</x:f>
        <x:v>DW-03</x:v>
      </x:c>
      <x:c r="B18" s="27" t="str">
        <x:f>'Work Breakdown'!B18</x:f>
        <x:v>Data Warehouse</x:v>
      </x:c>
      <x:c r="C18" s="27" t="str">
        <x:f>'Work Breakdown'!D18</x:f>
        <x:v>Load dimensions + surrogate keys</x:v>
      </x:c>
      <x:c r="D18" s="27" t="str">
        <x:f>'Work Breakdown'!G18</x:f>
        <x:v>Member 2 – Data Engineering / BI</x:v>
      </x:c>
      <x:c r="E18" s="43" t="n">
        <x:f>'Work Breakdown'!K18</x:f>
        <x:v>46318</x:v>
      </x:c>
      <x:c r="F18" s="27" t="str">
        <x:f>'Work Breakdown'!I18</x:f>
        <x:v>P0 – Critical</x:v>
      </x:c>
      <x:c r="G18" s="27" t="str">
        <x:f>'Work Breakdown'!N18</x:f>
        <x:v>Not Started</x:v>
      </x:c>
      <x:c r="H18" s="28" t="n">
        <x:f>'Work Breakdown'!O18</x:f>
        <x:v>0</x:v>
      </x:c>
      <x:c r="I18" s="27" t="str">
        <x:f>'Work Breakdown'!P18</x:f>
        <x:v>No orphan keys; dimension row uniqueness đúng</x:v>
      </x:c>
      <x:c r="J18" s="27" t="str">
        <x:f>'Work Breakdown'!L18</x:f>
        <x:v>DW-02; ETL-05</x:v>
      </x:c>
    </x:row>
    <x:row r="19">
      <x:c r="A19" s="27" t="str">
        <x:f>'Work Breakdown'!A19</x:f>
        <x:v>DW-04</x:v>
      </x:c>
      <x:c r="B19" s="27" t="str">
        <x:f>'Work Breakdown'!B19</x:f>
        <x:v>Data Warehouse</x:v>
      </x:c>
      <x:c r="C19" s="27" t="str">
        <x:f>'Work Breakdown'!D19</x:f>
        <x:v>Load FactBooking</x:v>
      </x:c>
      <x:c r="D19" s="27" t="str">
        <x:f>'Work Breakdown'!G19</x:f>
        <x:v>Member 2 – Data Engineering / BI</x:v>
      </x:c>
      <x:c r="E19" s="43" t="n">
        <x:f>'Work Breakdown'!K19</x:f>
        <x:v>46319</x:v>
      </x:c>
      <x:c r="F19" s="27" t="str">
        <x:f>'Work Breakdown'!I19</x:f>
        <x:v>P0 – Critical</x:v>
      </x:c>
      <x:c r="G19" s="27" t="str">
        <x:f>'Work Breakdown'!N19</x:f>
        <x:v>Not Started</x:v>
      </x:c>
      <x:c r="H19" s="28" t="n">
        <x:f>'Work Breakdown'!O19</x:f>
        <x:v>0</x:v>
      </x:c>
      <x:c r="I19" s="27" t="str">
        <x:f>'Work Breakdown'!P19</x:f>
        <x:v>No duplicate business grain; row reconciliation</x:v>
      </x:c>
      <x:c r="J19" s="27" t="str">
        <x:f>'Work Breakdown'!L19</x:f>
        <x:v>DW-03</x:v>
      </x:c>
    </x:row>
    <x:row r="20">
      <x:c r="A20" s="27" t="str">
        <x:f>'Work Breakdown'!A20</x:f>
        <x:v>DW-05</x:v>
      </x:c>
      <x:c r="B20" s="27" t="str">
        <x:f>'Work Breakdown'!B20</x:f>
        <x:v>Data Warehouse</x:v>
      </x:c>
      <x:c r="C20" s="27" t="str">
        <x:f>'Work Breakdown'!D20</x:f>
        <x:v>DW validation + schema extensibility review</x:v>
      </x:c>
      <x:c r="D20" s="27" t="str">
        <x:f>'Work Breakdown'!G20</x:f>
        <x:v>Member 1 – Architecture / DW / Backend</x:v>
      </x:c>
      <x:c r="E20" s="43" t="n">
        <x:f>'Work Breakdown'!K20</x:f>
        <x:v>46320</x:v>
      </x:c>
      <x:c r="F20" s="27" t="str">
        <x:f>'Work Breakdown'!I20</x:f>
        <x:v>P0 – Critical</x:v>
      </x:c>
      <x:c r="G20" s="27" t="str">
        <x:f>'Work Breakdown'!N20</x:f>
        <x:v>Not Started</x:v>
      </x:c>
      <x:c r="H20" s="28" t="n">
        <x:f>'Work Breakdown'!O20</x:f>
        <x:v>0</x:v>
      </x:c>
      <x:c r="I20" s="27" t="str">
        <x:f>'Work Breakdown'!P20</x:f>
        <x:v>KPI không double-count; extension scenario review xong</x:v>
      </x:c>
      <x:c r="J20" s="27" t="str">
        <x:f>'Work Breakdown'!L20</x:f>
        <x:v>DW-04</x:v>
      </x:c>
    </x:row>
    <x:row r="21">
      <x:c r="A21" s="27" t="str">
        <x:f>'Work Breakdown'!A21</x:f>
        <x:v>MART-01</x:v>
      </x:c>
      <x:c r="B21" s="27" t="str">
        <x:f>'Work Breakdown'!B21</x:f>
        <x:v>Data Mart</x:v>
      </x:c>
      <x:c r="C21" s="27" t="str">
        <x:f>'Work Breakdown'!D21</x:f>
        <x:v>Build Operations Mart</x:v>
      </x:c>
      <x:c r="D21" s="27" t="str">
        <x:f>'Work Breakdown'!G21</x:f>
        <x:v>Member 1 – Architecture / DW / Backend</x:v>
      </x:c>
      <x:c r="E21" s="43" t="n">
        <x:f>'Work Breakdown'!K21</x:f>
        <x:v>46322</x:v>
      </x:c>
      <x:c r="F21" s="27" t="str">
        <x:f>'Work Breakdown'!I21</x:f>
        <x:v>P0 – Critical</x:v>
      </x:c>
      <x:c r="G21" s="27" t="str">
        <x:f>'Work Breakdown'!N21</x:f>
        <x:v>Not Started</x:v>
      </x:c>
      <x:c r="H21" s="28" t="n">
        <x:f>'Work Breakdown'!O21</x:f>
        <x:v>0</x:v>
      </x:c>
      <x:c r="I21" s="27" t="str">
        <x:f>'Work Breakdown'!P21</x:f>
        <x:v>Daily hotel grain; demand/calendar/weather aggregates đủ cho OLAP + forecast</x:v>
      </x:c>
      <x:c r="J21" s="27" t="str">
        <x:f>'Work Breakdown'!L21</x:f>
        <x:v>DW-05</x:v>
      </x:c>
    </x:row>
    <x:row r="22">
      <x:c r="A22" s="27" t="str">
        <x:f>'Work Breakdown'!A22</x:f>
        <x:v>MART-02</x:v>
      </x:c>
      <x:c r="B22" s="27" t="str">
        <x:f>'Work Breakdown'!B22</x:f>
        <x:v>Data Mart</x:v>
      </x:c>
      <x:c r="C22" s="27" t="str">
        <x:f>'Work Breakdown'!D22</x:f>
        <x:v>Build Guest / Customer Mart</x:v>
      </x:c>
      <x:c r="D22" s="27" t="str">
        <x:f>'Work Breakdown'!G22</x:f>
        <x:v>Member 1 – Architecture / DW / Backend</x:v>
      </x:c>
      <x:c r="E22" s="43" t="n">
        <x:f>'Work Breakdown'!K22</x:f>
        <x:v>46322</x:v>
      </x:c>
      <x:c r="F22" s="27" t="str">
        <x:f>'Work Breakdown'!I22</x:f>
        <x:v>P0 – Critical</x:v>
      </x:c>
      <x:c r="G22" s="27" t="str">
        <x:f>'Work Breakdown'!N22</x:f>
        <x:v>Not Started</x:v>
      </x:c>
      <x:c r="H22" s="28" t="n">
        <x:f>'Work Breakdown'!O22</x:f>
        <x:v>0</x:v>
      </x:c>
      <x:c r="I22" s="27" t="str">
        <x:f>'Work Breakdown'!P22</x:f>
        <x:v>Guest composition, party size, room-related aggregates usable</x:v>
      </x:c>
      <x:c r="J22" s="27" t="str">
        <x:f>'Work Breakdown'!L22</x:f>
        <x:v>DW-05</x:v>
      </x:c>
    </x:row>
    <x:row r="23">
      <x:c r="A23" s="27" t="str">
        <x:f>'Work Breakdown'!A23</x:f>
        <x:v>MART-03</x:v>
      </x:c>
      <x:c r="B23" s="27" t="str">
        <x:f>'Work Breakdown'!B23</x:f>
        <x:v>Data Mart</x:v>
      </x:c>
      <x:c r="C23" s="27" t="str">
        <x:f>'Work Breakdown'!D23</x:f>
        <x:v>Build Revenue &amp; Cancellation Mart</x:v>
      </x:c>
      <x:c r="D23" s="27" t="str">
        <x:f>'Work Breakdown'!G23</x:f>
        <x:v>Member 1 – Architecture / DW / Backend</x:v>
      </x:c>
      <x:c r="E23" s="43" t="n">
        <x:f>'Work Breakdown'!K23</x:f>
        <x:v>46323</x:v>
      </x:c>
      <x:c r="F23" s="27" t="str">
        <x:f>'Work Breakdown'!I23</x:f>
        <x:v>P0 – Critical</x:v>
      </x:c>
      <x:c r="G23" s="27" t="str">
        <x:f>'Work Breakdown'!N23</x:f>
        <x:v>Not Started</x:v>
      </x:c>
      <x:c r="H23" s="28" t="n">
        <x:f>'Work Breakdown'!O23</x:f>
        <x:v>0</x:v>
      </x:c>
      <x:c r="I23" s="27" t="str">
        <x:f>'Work Breakdown'!P23</x:f>
        <x:v>Cancellation aggregates + revenue proxy definitions documented</x:v>
      </x:c>
      <x:c r="J23" s="27" t="str">
        <x:f>'Work Breakdown'!L23</x:f>
        <x:v>DW-05</x:v>
      </x:c>
    </x:row>
    <x:row r="24">
      <x:c r="A24" s="27" t="str">
        <x:f>'Work Breakdown'!A24</x:f>
        <x:v>MART-04</x:v>
      </x:c>
      <x:c r="B24" s="27" t="str">
        <x:f>'Work Breakdown'!B24</x:f>
        <x:v>Data Mart</x:v>
      </x:c>
      <x:c r="C24" s="27" t="str">
        <x:f>'Work Breakdown'!D24</x:f>
        <x:v>Build Booking Performance Mart</x:v>
      </x:c>
      <x:c r="D24" s="27" t="str">
        <x:f>'Work Breakdown'!G24</x:f>
        <x:v>Member 1 – Architecture / DW / Backend</x:v>
      </x:c>
      <x:c r="E24" s="43" t="n">
        <x:f>'Work Breakdown'!K24</x:f>
        <x:v>46323</x:v>
      </x:c>
      <x:c r="F24" s="27" t="str">
        <x:f>'Work Breakdown'!I24</x:f>
        <x:v>P1 – High</x:v>
      </x:c>
      <x:c r="G24" s="27" t="str">
        <x:f>'Work Breakdown'!N24</x:f>
        <x:v>Not Started</x:v>
      </x:c>
      <x:c r="H24" s="28" t="n">
        <x:f>'Work Breakdown'!O24</x:f>
        <x:v>0</x:v>
      </x:c>
      <x:c r="I24" s="27" t="str">
        <x:f>'Work Breakdown'!P24</x:f>
        <x:v>Channel/segment/booking aggregates support analytics/reporting</x:v>
      </x:c>
      <x:c r="J24" s="27" t="str">
        <x:f>'Work Breakdown'!L24</x:f>
        <x:v>DW-05</x:v>
      </x:c>
    </x:row>
    <x:row r="25">
      <x:c r="A25" s="27" t="str">
        <x:f>'Work Breakdown'!A25</x:f>
        <x:v>MART-05</x:v>
      </x:c>
      <x:c r="B25" s="27" t="str">
        <x:f>'Work Breakdown'!B25</x:f>
        <x:v>Data Mart</x:v>
      </x:c>
      <x:c r="C25" s="27" t="str">
        <x:f>'Work Breakdown'!D25</x:f>
        <x:v>Mart dependency + validation tests</x:v>
      </x:c>
      <x:c r="D25" s="27" t="str">
        <x:f>'Work Breakdown'!G25</x:f>
        <x:v>Member 2 – Data Engineering / BI</x:v>
      </x:c>
      <x:c r="E25" s="43" t="n">
        <x:f>'Work Breakdown'!K25</x:f>
        <x:v>46324</x:v>
      </x:c>
      <x:c r="F25" s="27" t="str">
        <x:f>'Work Breakdown'!I25</x:f>
        <x:v>P0 – Critical</x:v>
      </x:c>
      <x:c r="G25" s="27" t="str">
        <x:f>'Work Breakdown'!N25</x:f>
        <x:v>Not Started</x:v>
      </x:c>
      <x:c r="H25" s="28" t="n">
        <x:f>'Work Breakdown'!O25</x:f>
        <x:v>0</x:v>
      </x:c>
      <x:c r="I25" s="27" t="str">
        <x:f>'Work Breakdown'!P25</x:f>
        <x:v>Mart totals reconcile với DW; grain rõ; no accidental duplication</x:v>
      </x:c>
      <x:c r="J25" s="27" t="str">
        <x:f>'Work Breakdown'!L25</x:f>
        <x:v>MART-01; MART-02; MART-03</x:v>
      </x:c>
    </x:row>
    <x:row r="26">
      <x:c r="A26" s="27" t="str">
        <x:f>'Work Breakdown'!A26</x:f>
        <x:v>BI-01</x:v>
      </x:c>
      <x:c r="B26" s="27" t="str">
        <x:f>'Work Breakdown'!B26</x:f>
        <x:v>Analytics</x:v>
      </x:c>
      <x:c r="C26" s="27" t="str">
        <x:f>'Work Breakdown'!D26</x:f>
        <x:v>OLAP demand trend + holiday/weather impact queries</x:v>
      </x:c>
      <x:c r="D26" s="27" t="str">
        <x:f>'Work Breakdown'!G26</x:f>
        <x:v>Member 2 – Data Engineering / BI</x:v>
      </x:c>
      <x:c r="E26" s="43" t="n">
        <x:f>'Work Breakdown'!K26</x:f>
        <x:v>46325</x:v>
      </x:c>
      <x:c r="F26" s="27" t="str">
        <x:f>'Work Breakdown'!I26</x:f>
        <x:v>P0 – Critical</x:v>
      </x:c>
      <x:c r="G26" s="27" t="str">
        <x:f>'Work Breakdown'!N26</x:f>
        <x:v>Not Started</x:v>
      </x:c>
      <x:c r="H26" s="28" t="n">
        <x:f>'Work Breakdown'!O26</x:f>
        <x:v>0</x:v>
      </x:c>
      <x:c r="I26" s="27" t="str">
        <x:f>'Work Breakdown'!P26</x:f>
        <x:v>Có slice/dice/drill-down/roll-up và business insight</x:v>
      </x:c>
      <x:c r="J26" s="27" t="str">
        <x:f>'Work Breakdown'!L26</x:f>
        <x:v>MART-01</x:v>
      </x:c>
    </x:row>
    <x:row r="27">
      <x:c r="A27" s="27" t="str">
        <x:f>'Work Breakdown'!A27</x:f>
        <x:v>BI-02</x:v>
      </x:c>
      <x:c r="B27" s="27" t="str">
        <x:f>'Work Breakdown'!B27</x:f>
        <x:v>Analytics</x:v>
      </x:c>
      <x:c r="C27" s="27" t="str">
        <x:f>'Work Breakdown'!D27</x:f>
        <x:v>Guest composition + room analysis queries</x:v>
      </x:c>
      <x:c r="D27" s="27" t="str">
        <x:f>'Work Breakdown'!G27</x:f>
        <x:v>Member 2 – Data Engineering / BI</x:v>
      </x:c>
      <x:c r="E27" s="43" t="n">
        <x:f>'Work Breakdown'!K27</x:f>
        <x:v>46326</x:v>
      </x:c>
      <x:c r="F27" s="27" t="str">
        <x:f>'Work Breakdown'!I27</x:f>
        <x:v>P1 – High</x:v>
      </x:c>
      <x:c r="G27" s="27" t="str">
        <x:f>'Work Breakdown'!N27</x:f>
        <x:v>Not Started</x:v>
      </x:c>
      <x:c r="H27" s="28" t="n">
        <x:f>'Work Breakdown'!O27</x:f>
        <x:v>0</x:v>
      </x:c>
      <x:c r="I27" s="27" t="str">
        <x:f>'Work Breakdown'!P27</x:f>
        <x:v>Single/couple/family + party size + room mix query được</x:v>
      </x:c>
      <x:c r="J27" s="27" t="str">
        <x:f>'Work Breakdown'!L27</x:f>
        <x:v>MART-02</x:v>
      </x:c>
    </x:row>
    <x:row r="28">
      <x:c r="A28" s="27" t="str">
        <x:f>'Work Breakdown'!A28</x:f>
        <x:v>BI-03</x:v>
      </x:c>
      <x:c r="B28" s="27" t="str">
        <x:f>'Work Breakdown'!B28</x:f>
        <x:v>Analytics</x:v>
      </x:c>
      <x:c r="C28" s="27" t="str">
        <x:f>'Work Breakdown'!D28</x:f>
        <x:v>Cancellation analytics queries</x:v>
      </x:c>
      <x:c r="D28" s="27" t="str">
        <x:f>'Work Breakdown'!G28</x:f>
        <x:v>Member 2 – Data Engineering / BI</x:v>
      </x:c>
      <x:c r="E28" s="43" t="n">
        <x:f>'Work Breakdown'!K28</x:f>
        <x:v>46326</x:v>
      </x:c>
      <x:c r="F28" s="27" t="str">
        <x:f>'Work Breakdown'!I28</x:f>
        <x:v>P0 – Critical</x:v>
      </x:c>
      <x:c r="G28" s="27" t="str">
        <x:f>'Work Breakdown'!N28</x:f>
        <x:v>Not Started</x:v>
      </x:c>
      <x:c r="H28" s="28" t="n">
        <x:f>'Work Breakdown'!O28</x:f>
        <x:v>0</x:v>
      </x:c>
      <x:c r="I28" s="27" t="str">
        <x:f>'Work Breakdown'!P28</x:f>
        <x:v>Trend/channel/lead-time/deposit slices hợp lý</x:v>
      </x:c>
      <x:c r="J28" s="27" t="str">
        <x:f>'Work Breakdown'!L28</x:f>
        <x:v>MART-03</x:v>
      </x:c>
    </x:row>
    <x:row r="29">
      <x:c r="A29" s="27" t="str">
        <x:f>'Work Breakdown'!A29</x:f>
        <x:v>BI-04</x:v>
      </x:c>
      <x:c r="B29" s="27" t="str">
        <x:f>'Work Breakdown'!B29</x:f>
        <x:v>Analytics</x:v>
      </x:c>
      <x:c r="C29" s="27" t="str">
        <x:f>'Work Breakdown'!D29</x:f>
        <x:v>Booking/channel/segment analytics queries</x:v>
      </x:c>
      <x:c r="D29" s="27" t="str">
        <x:f>'Work Breakdown'!G29</x:f>
        <x:v>Member 2 – Data Engineering / BI</x:v>
      </x:c>
      <x:c r="E29" s="43" t="n">
        <x:f>'Work Breakdown'!K29</x:f>
        <x:v>46327</x:v>
      </x:c>
      <x:c r="F29" s="27" t="str">
        <x:f>'Work Breakdown'!I29</x:f>
        <x:v>P1 – High</x:v>
      </x:c>
      <x:c r="G29" s="27" t="str">
        <x:f>'Work Breakdown'!N29</x:f>
        <x:v>Not Started</x:v>
      </x:c>
      <x:c r="H29" s="28" t="n">
        <x:f>'Work Breakdown'!O29</x:f>
        <x:v>0</x:v>
      </x:c>
      <x:c r="I29" s="27" t="str">
        <x:f>'Work Breakdown'!P29</x:f>
        <x:v>Query trả lời BR booking performance</x:v>
      </x:c>
      <x:c r="J29" s="27" t="str">
        <x:f>'Work Breakdown'!L29</x:f>
        <x:v>MART-04</x:v>
      </x:c>
    </x:row>
    <x:row r="30">
      <x:c r="A30" s="27" t="str">
        <x:f>'Work Breakdown'!A30</x:f>
        <x:v>BI-05</x:v>
      </x:c>
      <x:c r="B30" s="27" t="str">
        <x:f>'Work Breakdown'!B30</x:f>
        <x:v>Reporting</x:v>
      </x:c>
      <x:c r="C30" s="27" t="str">
        <x:f>'Work Breakdown'!D30</x:f>
        <x:v>Tạo reporting views + KPI reconciliation</x:v>
      </x:c>
      <x:c r="D30" s="27" t="str">
        <x:f>'Work Breakdown'!G30</x:f>
        <x:v>Member 2 – Data Engineering / BI</x:v>
      </x:c>
      <x:c r="E30" s="43" t="n">
        <x:f>'Work Breakdown'!K30</x:f>
        <x:v>46328</x:v>
      </x:c>
      <x:c r="F30" s="27" t="str">
        <x:f>'Work Breakdown'!I30</x:f>
        <x:v>P0 – Critical</x:v>
      </x:c>
      <x:c r="G30" s="27" t="str">
        <x:f>'Work Breakdown'!N30</x:f>
        <x:v>Not Started</x:v>
      </x:c>
      <x:c r="H30" s="28" t="n">
        <x:f>'Work Breakdown'!O30</x:f>
        <x:v>0</x:v>
      </x:c>
      <x:c r="I30" s="27" t="str">
        <x:f>'Work Breakdown'!P30</x:f>
        <x:v>Same filter =&gt; same KPI giữa analytics/report</x:v>
      </x:c>
      <x:c r="J30" s="27" t="str">
        <x:f>'Work Breakdown'!L30</x:f>
        <x:v>BI-01; BI-02; BI-03</x:v>
      </x:c>
    </x:row>
    <x:row r="31">
      <x:c r="A31" s="27" t="str">
        <x:f>'Work Breakdown'!A31</x:f>
        <x:v>API-01</x:v>
      </x:c>
      <x:c r="B31" s="27" t="str">
        <x:f>'Work Breakdown'!B31</x:f>
        <x:v>Application</x:v>
      </x:c>
      <x:c r="C31" s="27" t="str">
        <x:f>'Work Breakdown'!D31</x:f>
        <x:v>FastAPI skeleton + DB connection/config</x:v>
      </x:c>
      <x:c r="D31" s="27" t="str">
        <x:f>'Work Breakdown'!G31</x:f>
        <x:v>Member 1 – Architecture / DW / Backend</x:v>
      </x:c>
      <x:c r="E31" s="43" t="n">
        <x:f>'Work Breakdown'!K31</x:f>
        <x:v>46324</x:v>
      </x:c>
      <x:c r="F31" s="27" t="str">
        <x:f>'Work Breakdown'!I31</x:f>
        <x:v>P0 – Critical</x:v>
      </x:c>
      <x:c r="G31" s="27" t="str">
        <x:f>'Work Breakdown'!N31</x:f>
        <x:v>Not Started</x:v>
      </x:c>
      <x:c r="H31" s="28" t="n">
        <x:f>'Work Breakdown'!O31</x:f>
        <x:v>0</x:v>
      </x:c>
      <x:c r="I31" s="27" t="str">
        <x:f>'Work Breakdown'!P31</x:f>
        <x:v>Health endpoint + DB connection hoạt động</x:v>
      </x:c>
      <x:c r="J31" s="27" t="str">
        <x:f>'Work Breakdown'!L31</x:f>
        <x:v>DES-02</x:v>
      </x:c>
    </x:row>
    <x:row r="32">
      <x:c r="A32" s="27" t="str">
        <x:f>'Work Breakdown'!A32</x:f>
        <x:v>API-02</x:v>
      </x:c>
      <x:c r="B32" s="27" t="str">
        <x:f>'Work Breakdown'!B32</x:f>
        <x:v>Application</x:v>
      </x:c>
      <x:c r="C32" s="27" t="str">
        <x:f>'Work Breakdown'!D32</x:f>
        <x:v>Analytics &amp; Reports API endpoints</x:v>
      </x:c>
      <x:c r="D32" s="27" t="str">
        <x:f>'Work Breakdown'!G32</x:f>
        <x:v>Member 1 – Architecture / DW / Backend</x:v>
      </x:c>
      <x:c r="E32" s="43" t="n">
        <x:f>'Work Breakdown'!K32</x:f>
        <x:v>46328</x:v>
      </x:c>
      <x:c r="F32" s="27" t="str">
        <x:f>'Work Breakdown'!I32</x:f>
        <x:v>P0 – Critical</x:v>
      </x:c>
      <x:c r="G32" s="27" t="str">
        <x:f>'Work Breakdown'!N32</x:f>
        <x:v>Not Started</x:v>
      </x:c>
      <x:c r="H32" s="28" t="n">
        <x:f>'Work Breakdown'!O32</x:f>
        <x:v>0</x:v>
      </x:c>
      <x:c r="I32" s="27" t="str">
        <x:f>'Work Breakdown'!P32</x:f>
        <x:v>API chỉ đọc official marts; response schema ổn định</x:v>
      </x:c>
      <x:c r="J32" s="27" t="str">
        <x:f>'Work Breakdown'!L32</x:f>
        <x:v>API-01; BI-05</x:v>
      </x:c>
    </x:row>
    <x:row r="33">
      <x:c r="A33" s="27" t="str">
        <x:f>'Work Breakdown'!A33</x:f>
        <x:v>API-03</x:v>
      </x:c>
      <x:c r="B33" s="27" t="str">
        <x:f>'Work Breakdown'!B33</x:f>
        <x:v>Application</x:v>
      </x:c>
      <x:c r="C33" s="27" t="str">
        <x:f>'Work Breakdown'!D33</x:f>
        <x:v>DSS API contract + model loading service</x:v>
      </x:c>
      <x:c r="D33" s="27" t="str">
        <x:f>'Work Breakdown'!G33</x:f>
        <x:v>Member 1 – Architecture / DW / Backend</x:v>
      </x:c>
      <x:c r="E33" s="43" t="n">
        <x:f>'Work Breakdown'!K33</x:f>
        <x:v>46330</x:v>
      </x:c>
      <x:c r="F33" s="27" t="str">
        <x:f>'Work Breakdown'!I33</x:f>
        <x:v>P0 – Critical</x:v>
      </x:c>
      <x:c r="G33" s="27" t="str">
        <x:f>'Work Breakdown'!N33</x:f>
        <x:v>Not Started</x:v>
      </x:c>
      <x:c r="H33" s="28" t="n">
        <x:f>'Work Breakdown'!O33</x:f>
        <x:v>0</x:v>
      </x:c>
      <x:c r="I33" s="27" t="str">
        <x:f>'Work Breakdown'!P33</x:f>
        <x:v>3 endpoints trả forecast/risk + DSS status/action</x:v>
      </x:c>
      <x:c r="J33" s="27" t="str">
        <x:f>'Work Breakdown'!L33</x:f>
        <x:v>API-01; ML-05</x:v>
      </x:c>
    </x:row>
    <x:row r="34">
      <x:c r="A34" s="27" t="str">
        <x:f>'Work Breakdown'!A34</x:f>
        <x:v>FE-01</x:v>
      </x:c>
      <x:c r="B34" s="27" t="str">
        <x:f>'Work Breakdown'!B34</x:f>
        <x:v>Frontend</x:v>
      </x:c>
      <x:c r="C34" s="27" t="str">
        <x:f>'Work Breakdown'!D34</x:f>
        <x:v>React + Vite + Router + layout skeleton</x:v>
      </x:c>
      <x:c r="D34" s="27" t="str">
        <x:f>'Work Breakdown'!G34</x:f>
        <x:v>Member 3 – Frontend / ML-DSS</x:v>
      </x:c>
      <x:c r="E34" s="43" t="n">
        <x:f>'Work Breakdown'!K34</x:f>
        <x:v>46324</x:v>
      </x:c>
      <x:c r="F34" s="27" t="str">
        <x:f>'Work Breakdown'!I34</x:f>
        <x:v>P0 – Critical</x:v>
      </x:c>
      <x:c r="G34" s="27" t="str">
        <x:f>'Work Breakdown'!N34</x:f>
        <x:v>Not Started</x:v>
      </x:c>
      <x:c r="H34" s="28" t="n">
        <x:f>'Work Breakdown'!O34</x:f>
        <x:v>0</x:v>
      </x:c>
      <x:c r="I34" s="27" t="str">
        <x:f>'Work Breakdown'!P34</x:f>
        <x:v>Pages route được; API client config rõ</x:v>
      </x:c>
      <x:c r="J34" s="27" t="str">
        <x:f>'Work Breakdown'!L34</x:f>
        <x:v>DES-02</x:v>
      </x:c>
    </x:row>
    <x:row r="35">
      <x:c r="A35" s="27" t="str">
        <x:f>'Work Breakdown'!A35</x:f>
        <x:v>FE-02</x:v>
      </x:c>
      <x:c r="B35" s="27" t="str">
        <x:f>'Work Breakdown'!B35</x:f>
        <x:v>Frontend</x:v>
      </x:c>
      <x:c r="C35" s="27" t="str">
        <x:f>'Work Breakdown'!D35</x:f>
        <x:v>Analytics pages + filters/charts</x:v>
      </x:c>
      <x:c r="D35" s="27" t="str">
        <x:f>'Work Breakdown'!G35</x:f>
        <x:v>Member 3 – Frontend / ML-DSS</x:v>
      </x:c>
      <x:c r="E35" s="43" t="n">
        <x:f>'Work Breakdown'!K35</x:f>
        <x:v>46329</x:v>
      </x:c>
      <x:c r="F35" s="27" t="str">
        <x:f>'Work Breakdown'!I35</x:f>
        <x:v>P0 – Critical</x:v>
      </x:c>
      <x:c r="G35" s="27" t="str">
        <x:f>'Work Breakdown'!N35</x:f>
        <x:v>Not Started</x:v>
      </x:c>
      <x:c r="H35" s="28" t="n">
        <x:f>'Work Breakdown'!O35</x:f>
        <x:v>0</x:v>
      </x:c>
      <x:c r="I35" s="27" t="str">
        <x:f>'Work Breakdown'!P35</x:f>
        <x:v>4 Mart domain có các view cần thiết; loading/error states</x:v>
      </x:c>
      <x:c r="J35" s="27" t="str">
        <x:f>'Work Breakdown'!L35</x:f>
        <x:v>FE-01; API-02</x:v>
      </x:c>
    </x:row>
    <x:row r="36">
      <x:c r="A36" s="27" t="str">
        <x:f>'Work Breakdown'!A36</x:f>
        <x:v>FE-03</x:v>
      </x:c>
      <x:c r="B36" s="27" t="str">
        <x:f>'Work Breakdown'!B36</x:f>
        <x:v>Frontend</x:v>
      </x:c>
      <x:c r="C36" s="27" t="str">
        <x:f>'Work Breakdown'!D36</x:f>
        <x:v>Reporting pages</x:v>
      </x:c>
      <x:c r="D36" s="27" t="str">
        <x:f>'Work Breakdown'!G36</x:f>
        <x:v>Member 3 – Frontend / ML-DSS</x:v>
      </x:c>
      <x:c r="E36" s="43" t="n">
        <x:f>'Work Breakdown'!K36</x:f>
        <x:v>46330</x:v>
      </x:c>
      <x:c r="F36" s="27" t="str">
        <x:f>'Work Breakdown'!I36</x:f>
        <x:v>P1 – High</x:v>
      </x:c>
      <x:c r="G36" s="27" t="str">
        <x:f>'Work Breakdown'!N36</x:f>
        <x:v>Not Started</x:v>
      </x:c>
      <x:c r="H36" s="28" t="n">
        <x:f>'Work Breakdown'!O36</x:f>
        <x:v>0</x:v>
      </x:c>
      <x:c r="I36" s="27" t="str">
        <x:f>'Work Breakdown'!P36</x:f>
        <x:v>Fixed KPI/report layout rõ, period/filter đúng</x:v>
      </x:c>
      <x:c r="J36" s="27" t="str">
        <x:f>'Work Breakdown'!L36</x:f>
        <x:v>FE-01; API-02</x:v>
      </x:c>
    </x:row>
    <x:row r="37">
      <x:c r="A37" s="27" t="str">
        <x:f>'Work Breakdown'!A37</x:f>
        <x:v>ML-01</x:v>
      </x:c>
      <x:c r="B37" s="27" t="str">
        <x:f>'Work Breakdown'!B37</x:f>
        <x:v>Mining/DSS</x:v>
      </x:c>
      <x:c r="C37" s="27" t="str">
        <x:f>'Work Breakdown'!D37</x:f>
        <x:v>Demand forecast feature pipeline + baseline</x:v>
      </x:c>
      <x:c r="D37" s="27" t="str">
        <x:f>'Work Breakdown'!G37</x:f>
        <x:v>Member 3 – Frontend / ML-DSS</x:v>
      </x:c>
      <x:c r="E37" s="43" t="n">
        <x:f>'Work Breakdown'!K37</x:f>
        <x:v>46327</x:v>
      </x:c>
      <x:c r="F37" s="27" t="str">
        <x:f>'Work Breakdown'!I37</x:f>
        <x:v>P0 – Critical</x:v>
      </x:c>
      <x:c r="G37" s="27" t="str">
        <x:f>'Work Breakdown'!N37</x:f>
        <x:v>Not Started</x:v>
      </x:c>
      <x:c r="H37" s="28" t="n">
        <x:f>'Work Breakdown'!O37</x:f>
        <x:v>0</x:v>
      </x:c>
      <x:c r="I37" s="27" t="str">
        <x:f>'Work Breakdown'!P37</x:f>
        <x:v>Time split, no leakage, baseline reproducible</x:v>
      </x:c>
      <x:c r="J37" s="27" t="str">
        <x:f>'Work Breakdown'!L37</x:f>
        <x:v>MART-01; DES-04</x:v>
      </x:c>
    </x:row>
    <x:row r="38">
      <x:c r="A38" s="27" t="str">
        <x:f>'Work Breakdown'!A38</x:f>
        <x:v>ML-02</x:v>
      </x:c>
      <x:c r="B38" s="27" t="str">
        <x:f>'Work Breakdown'!B38</x:f>
        <x:v>Mining/DSS</x:v>
      </x:c>
      <x:c r="C38" s="27" t="str">
        <x:f>'Work Breakdown'!D38</x:f>
        <x:v>Guest mix prediction pipeline</x:v>
      </x:c>
      <x:c r="D38" s="27" t="str">
        <x:f>'Work Breakdown'!G38</x:f>
        <x:v>Member 3 – Frontend / ML-DSS</x:v>
      </x:c>
      <x:c r="E38" s="43" t="n">
        <x:f>'Work Breakdown'!K38</x:f>
        <x:v>46328</x:v>
      </x:c>
      <x:c r="F38" s="27" t="str">
        <x:f>'Work Breakdown'!I38</x:f>
        <x:v>P0 – Critical</x:v>
      </x:c>
      <x:c r="G38" s="27" t="str">
        <x:f>'Work Breakdown'!N38</x:f>
        <x:v>Not Started</x:v>
      </x:c>
      <x:c r="H38" s="28" t="n">
        <x:f>'Work Breakdown'!O38</x:f>
        <x:v>0</x:v>
      </x:c>
      <x:c r="I38" s="27" t="str">
        <x:f>'Work Breakdown'!P38</x:f>
        <x:v>Predict single/couple/family distribution/counts rõ</x:v>
      </x:c>
      <x:c r="J38" s="27" t="str">
        <x:f>'Work Breakdown'!L38</x:f>
        <x:v>MART-02; DES-04</x:v>
      </x:c>
    </x:row>
    <x:row r="39">
      <x:c r="A39" s="27" t="str">
        <x:f>'Work Breakdown'!A39</x:f>
        <x:v>ML-03</x:v>
      </x:c>
      <x:c r="B39" s="27" t="str">
        <x:f>'Work Breakdown'!B39</x:f>
        <x:v>Mining/DSS</x:v>
      </x:c>
      <x:c r="C39" s="27" t="str">
        <x:f>'Work Breakdown'!D39</x:f>
        <x:v>Cancellation prediction pipeline</x:v>
      </x:c>
      <x:c r="D39" s="27" t="str">
        <x:f>'Work Breakdown'!G39</x:f>
        <x:v>Member 3 – Frontend / ML-DSS</x:v>
      </x:c>
      <x:c r="E39" s="43" t="n">
        <x:f>'Work Breakdown'!K39</x:f>
        <x:v>46328</x:v>
      </x:c>
      <x:c r="F39" s="27" t="str">
        <x:f>'Work Breakdown'!I39</x:f>
        <x:v>P0 – Critical</x:v>
      </x:c>
      <x:c r="G39" s="27" t="str">
        <x:f>'Work Breakdown'!N39</x:f>
        <x:v>Not Started</x:v>
      </x:c>
      <x:c r="H39" s="28" t="n">
        <x:f>'Work Breakdown'!O39</x:f>
        <x:v>0</x:v>
      </x:c>
      <x:c r="I39" s="27" t="str">
        <x:f>'Work Breakdown'!P39</x:f>
        <x:v>Booking-level probability or clearly defined aggregate; no leakage</x:v>
      </x:c>
      <x:c r="J39" s="27" t="str">
        <x:f>'Work Breakdown'!L39</x:f>
        <x:v>MART-03; DES-04</x:v>
      </x:c>
    </x:row>
    <x:row r="40">
      <x:c r="A40" s="27" t="str">
        <x:f>'Work Breakdown'!A40</x:f>
        <x:v>ML-04</x:v>
      </x:c>
      <x:c r="B40" s="27" t="str">
        <x:f>'Work Breakdown'!B40</x:f>
        <x:v>Mining/DSS</x:v>
      </x:c>
      <x:c r="C40" s="27" t="str">
        <x:f>'Work Breakdown'!D40</x:f>
        <x:v>Model comparison + error analysis</x:v>
      </x:c>
      <x:c r="D40" s="27" t="str">
        <x:f>'Work Breakdown'!G40</x:f>
        <x:v>Member 3 – Frontend / ML-DSS</x:v>
      </x:c>
      <x:c r="E40" s="43" t="n">
        <x:f>'Work Breakdown'!K40</x:f>
        <x:v>46330</x:v>
      </x:c>
      <x:c r="F40" s="27" t="str">
        <x:f>'Work Breakdown'!I40</x:f>
        <x:v>P0 – Critical</x:v>
      </x:c>
      <x:c r="G40" s="27" t="str">
        <x:f>'Work Breakdown'!N40</x:f>
        <x:v>Not Started</x:v>
      </x:c>
      <x:c r="H40" s="28" t="n">
        <x:f>'Work Breakdown'!O40</x:f>
        <x:v>0</x:v>
      </x:c>
      <x:c r="I40" s="27" t="str">
        <x:f>'Work Breakdown'!P40</x:f>
        <x:v>Baseline comparison + rationale model selection</x:v>
      </x:c>
      <x:c r="J40" s="27" t="str">
        <x:f>'Work Breakdown'!L40</x:f>
        <x:v>ML-01; ML-02; ML-03</x:v>
      </x:c>
    </x:row>
    <x:row r="41">
      <x:c r="A41" s="27" t="str">
        <x:f>'Work Breakdown'!A41</x:f>
        <x:v>ML-05</x:v>
      </x:c>
      <x:c r="B41" s="27" t="str">
        <x:f>'Work Breakdown'!B41</x:f>
        <x:v>Mining/DSS</x:v>
      </x:c>
      <x:c r="C41" s="27" t="str">
        <x:f>'Work Breakdown'!D41</x:f>
        <x:v>Export model artifacts + inference functions</x:v>
      </x:c>
      <x:c r="D41" s="27" t="str">
        <x:f>'Work Breakdown'!G41</x:f>
        <x:v>Member 3 – Frontend / ML-DSS</x:v>
      </x:c>
      <x:c r="E41" s="43" t="n">
        <x:f>'Work Breakdown'!K41</x:f>
        <x:v>46330</x:v>
      </x:c>
      <x:c r="F41" s="27" t="str">
        <x:f>'Work Breakdown'!I41</x:f>
        <x:v>P0 – Critical</x:v>
      </x:c>
      <x:c r="G41" s="27" t="str">
        <x:f>'Work Breakdown'!N41</x:f>
        <x:v>Not Started</x:v>
      </x:c>
      <x:c r="H41" s="28" t="n">
        <x:f>'Work Breakdown'!O41</x:f>
        <x:v>0</x:v>
      </x:c>
      <x:c r="I41" s="27" t="str">
        <x:f>'Work Breakdown'!P41</x:f>
        <x:v>Backend load model mà không retrain; inference reproducible</x:v>
      </x:c>
      <x:c r="J41" s="27" t="str">
        <x:f>'Work Breakdown'!L41</x:f>
        <x:v>ML-04</x:v>
      </x:c>
    </x:row>
    <x:row r="42">
      <x:c r="A42" s="27" t="str">
        <x:f>'Work Breakdown'!A42</x:f>
        <x:v>DSS-01</x:v>
      </x:c>
      <x:c r="B42" s="27" t="str">
        <x:f>'Work Breakdown'!B42</x:f>
        <x:v>Mining/DSS</x:v>
      </x:c>
      <x:c r="C42" s="27" t="str">
        <x:f>'Work Breakdown'!D42</x:f>
        <x:v>DSS rules: HIGH/NORMAL/LOW + suggested actions</x:v>
      </x:c>
      <x:c r="D42" s="27" t="str">
        <x:f>'Work Breakdown'!G42</x:f>
        <x:v>Member 3 – Frontend / ML-DSS</x:v>
      </x:c>
      <x:c r="E42" s="43" t="n">
        <x:f>'Work Breakdown'!K42</x:f>
        <x:v>46330</x:v>
      </x:c>
      <x:c r="F42" s="27" t="str">
        <x:f>'Work Breakdown'!I42</x:f>
        <x:v>P1 – High</x:v>
      </x:c>
      <x:c r="G42" s="27" t="str">
        <x:f>'Work Breakdown'!N42</x:f>
        <x:v>Not Started</x:v>
      </x:c>
      <x:c r="H42" s="28" t="n">
        <x:f>'Work Breakdown'!O42</x:f>
        <x:v>0</x:v>
      </x:c>
      <x:c r="I42" s="27" t="str">
        <x:f>'Work Breakdown'!P42</x:f>
        <x:v>Rule có rationale; không overclaim optimization</x:v>
      </x:c>
      <x:c r="J42" s="27" t="str">
        <x:f>'Work Breakdown'!L42</x:f>
        <x:v>ML-04</x:v>
      </x:c>
    </x:row>
    <x:row r="43">
      <x:c r="A43" s="27" t="str">
        <x:f>'Work Breakdown'!A43</x:f>
        <x:v>FE-04</x:v>
      </x:c>
      <x:c r="B43" s="27" t="str">
        <x:f>'Work Breakdown'!B43</x:f>
        <x:v>Frontend</x:v>
      </x:c>
      <x:c r="C43" s="27" t="str">
        <x:f>'Work Breakdown'!D43</x:f>
        <x:v>DSS pages cho 3 predictions</x:v>
      </x:c>
      <x:c r="D43" s="27" t="str">
        <x:f>'Work Breakdown'!G43</x:f>
        <x:v>Member 3 – Frontend / ML-DSS</x:v>
      </x:c>
      <x:c r="E43" s="43" t="n">
        <x:f>'Work Breakdown'!K43</x:f>
        <x:v>46331</x:v>
      </x:c>
      <x:c r="F43" s="27" t="str">
        <x:f>'Work Breakdown'!I43</x:f>
        <x:v>P0 – Critical</x:v>
      </x:c>
      <x:c r="G43" s="27" t="str">
        <x:f>'Work Breakdown'!N43</x:f>
        <x:v>Not Started</x:v>
      </x:c>
      <x:c r="H43" s="28" t="n">
        <x:f>'Work Breakdown'!O43</x:f>
        <x:v>0</x:v>
      </x:c>
      <x:c r="I43" s="27" t="str">
        <x:f>'Work Breakdown'!P43</x:f>
        <x:v>Forecast/risk/status/action render rõ; charts/tables đúng</x:v>
      </x:c>
      <x:c r="J43" s="27" t="str">
        <x:f>'Work Breakdown'!L43</x:f>
        <x:v>API-03; DSS-01</x:v>
      </x:c>
    </x:row>
    <x:row r="44">
      <x:c r="A44" s="27" t="str">
        <x:f>'Work Breakdown'!A44</x:f>
        <x:v>DEV-01</x:v>
      </x:c>
      <x:c r="B44" s="27" t="str">
        <x:f>'Work Breakdown'!B44</x:f>
        <x:v>DevOps</x:v>
      </x:c>
      <x:c r="C44" s="27" t="str">
        <x:f>'Work Breakdown'!D44</x:f>
        <x:v>Dockerfile frontend/backend/pipeline</x:v>
      </x:c>
      <x:c r="D44" s="27" t="str">
        <x:f>'Work Breakdown'!G44</x:f>
        <x:v>Member 1 – Architecture / DW / Backend</x:v>
      </x:c>
      <x:c r="E44" s="43" t="n">
        <x:f>'Work Breakdown'!K44</x:f>
        <x:v>46330</x:v>
      </x:c>
      <x:c r="F44" s="27" t="str">
        <x:f>'Work Breakdown'!I44</x:f>
        <x:v>P1 – High</x:v>
      </x:c>
      <x:c r="G44" s="27" t="str">
        <x:f>'Work Breakdown'!N44</x:f>
        <x:v>Not Started</x:v>
      </x:c>
      <x:c r="H44" s="28" t="n">
        <x:f>'Work Breakdown'!O44</x:f>
        <x:v>0</x:v>
      </x:c>
      <x:c r="I44" s="27" t="str">
        <x:f>'Work Breakdown'!P44</x:f>
        <x:v>Images build được độc lập</x:v>
      </x:c>
      <x:c r="J44" s="27" t="str">
        <x:f>'Work Breakdown'!L44</x:f>
        <x:v>API-01; FE-01</x:v>
      </x:c>
    </x:row>
    <x:row r="45">
      <x:c r="A45" s="27" t="str">
        <x:f>'Work Breakdown'!A45</x:f>
        <x:v>DEV-02</x:v>
      </x:c>
      <x:c r="B45" s="27" t="str">
        <x:f>'Work Breakdown'!B45</x:f>
        <x:v>DevOps</x:v>
      </x:c>
      <x:c r="C45" s="27" t="str">
        <x:f>'Work Breakdown'!D45</x:f>
        <x:v>Docker Compose: frontend/backend/db/etl</x:v>
      </x:c>
      <x:c r="D45" s="27" t="str">
        <x:f>'Work Breakdown'!G45</x:f>
        <x:v>Member 1 – Architecture / DW / Backend</x:v>
      </x:c>
      <x:c r="E45" s="43" t="n">
        <x:f>'Work Breakdown'!K45</x:f>
        <x:v>46332</x:v>
      </x:c>
      <x:c r="F45" s="27" t="str">
        <x:f>'Work Breakdown'!I45</x:f>
        <x:v>P0 – Critical</x:v>
      </x:c>
      <x:c r="G45" s="27" t="str">
        <x:f>'Work Breakdown'!N45</x:f>
        <x:v>Not Started</x:v>
      </x:c>
      <x:c r="H45" s="28" t="n">
        <x:f>'Work Breakdown'!O45</x:f>
        <x:v>0</x:v>
      </x:c>
      <x:c r="I45" s="27" t="str">
        <x:f>'Work Breakdown'!P45</x:f>
        <x:v>docker compose up --build chạy; DB persistent</x:v>
      </x:c>
      <x:c r="J45" s="27" t="str">
        <x:f>'Work Breakdown'!L45</x:f>
        <x:v>DEV-01</x:v>
      </x:c>
    </x:row>
    <x:row r="46">
      <x:c r="A46" s="27" t="str">
        <x:f>'Work Breakdown'!A46</x:f>
        <x:v>INT-01</x:v>
      </x:c>
      <x:c r="B46" s="27" t="str">
        <x:f>'Work Breakdown'!B46</x:f>
        <x:v>Integration</x:v>
      </x:c>
      <x:c r="C46" s="27" t="str">
        <x:f>'Work Breakdown'!D46</x:f>
        <x:v>End-to-end run Raw → Staging → DW → Mart → API → React</x:v>
      </x:c>
      <x:c r="D46" s="27" t="str">
        <x:f>'Work Breakdown'!G46</x:f>
        <x:v>Member 1 – Architecture / DW / Backend</x:v>
      </x:c>
      <x:c r="E46" s="43" t="n">
        <x:f>'Work Breakdown'!K46</x:f>
        <x:v>46333</x:v>
      </x:c>
      <x:c r="F46" s="27" t="str">
        <x:f>'Work Breakdown'!I46</x:f>
        <x:v>P0 – Critical</x:v>
      </x:c>
      <x:c r="G46" s="27" t="str">
        <x:f>'Work Breakdown'!N46</x:f>
        <x:v>Not Started</x:v>
      </x:c>
      <x:c r="H46" s="28" t="n">
        <x:f>'Work Breakdown'!O46</x:f>
        <x:v>0</x:v>
      </x:c>
      <x:c r="I46" s="27" t="str">
        <x:f>'Work Breakdown'!P46</x:f>
        <x:v>Không sửa tay data; core flows chạy từ đầu đến cuối</x:v>
      </x:c>
      <x:c r="J46" s="27" t="str">
        <x:f>'Work Breakdown'!L46</x:f>
        <x:v>DEV-02; FE-04</x:v>
      </x:c>
    </x:row>
    <x:row r="47">
      <x:c r="A47" s="27" t="str">
        <x:f>'Work Breakdown'!A47</x:f>
        <x:v>QA-01</x:v>
      </x:c>
      <x:c r="B47" s="27" t="str">
        <x:f>'Work Breakdown'!B47</x:f>
        <x:v>Integration</x:v>
      </x:c>
      <x:c r="C47" s="27" t="str">
        <x:f>'Work Breakdown'!D47</x:f>
        <x:v>KPI/data reconciliation + API/UI validation</x:v>
      </x:c>
      <x:c r="D47" s="27" t="str">
        <x:f>'Work Breakdown'!G47</x:f>
        <x:v>Member 2 – Data Engineering / BI</x:v>
      </x:c>
      <x:c r="E47" s="43" t="n">
        <x:f>'Work Breakdown'!K47</x:f>
        <x:v>46333</x:v>
      </x:c>
      <x:c r="F47" s="27" t="str">
        <x:f>'Work Breakdown'!I47</x:f>
        <x:v>P0 – Critical</x:v>
      </x:c>
      <x:c r="G47" s="27" t="str">
        <x:f>'Work Breakdown'!N47</x:f>
        <x:v>Not Started</x:v>
      </x:c>
      <x:c r="H47" s="28" t="n">
        <x:f>'Work Breakdown'!O47</x:f>
        <x:v>0</x:v>
      </x:c>
      <x:c r="I47" s="27" t="str">
        <x:f>'Work Breakdown'!P47</x:f>
        <x:v>No inconsistent KPI; sample trace raw→UI thành công</x:v>
      </x:c>
      <x:c r="J47" s="27" t="str">
        <x:f>'Work Breakdown'!L47</x:f>
        <x:v>INT-01</x:v>
      </x:c>
    </x:row>
    <x:row r="48">
      <x:c r="A48" s="27" t="str">
        <x:f>'Work Breakdown'!A48</x:f>
        <x:v>DOC-01</x:v>
      </x:c>
      <x:c r="B48" s="27" t="str">
        <x:f>'Work Breakdown'!B48</x:f>
        <x:v>Documentation</x:v>
      </x:c>
      <x:c r="C48" s="27" t="str">
        <x:f>'Work Breakdown'!D48</x:f>
        <x:v>Chốt architecture/schema/API/demo documentation</x:v>
      </x:c>
      <x:c r="D48" s="27" t="str">
        <x:f>'Work Breakdown'!G48</x:f>
        <x:v>Member 1 – Architecture / DW / Backend</x:v>
      </x:c>
      <x:c r="E48" s="43" t="n">
        <x:f>'Work Breakdown'!K48</x:f>
        <x:v>46334</x:v>
      </x:c>
      <x:c r="F48" s="27" t="str">
        <x:f>'Work Breakdown'!I48</x:f>
        <x:v>P0 – Critical</x:v>
      </x:c>
      <x:c r="G48" s="27" t="str">
        <x:f>'Work Breakdown'!N48</x:f>
        <x:v>Not Started</x:v>
      </x:c>
      <x:c r="H48" s="28" t="n">
        <x:f>'Work Breakdown'!O48</x:f>
        <x:v>0</x:v>
      </x:c>
      <x:c r="I48" s="27" t="str">
        <x:f>'Work Breakdown'!P48</x:f>
        <x:v>Người khác đọc README có thể dựng và hiểu hệ thống</x:v>
      </x:c>
      <x:c r="J48" s="27" t="str">
        <x:f>'Work Breakdown'!L48</x:f>
        <x:v>INT-01</x:v>
      </x:c>
    </x:row>
    <x:row r="49">
      <x:c r="A49" s="27" t="str">
        <x:f>'Work Breakdown'!A49</x:f>
        <x:v>DEMO-01</x:v>
      </x:c>
      <x:c r="B49" s="27" t="str">
        <x:f>'Work Breakdown'!B49</x:f>
        <x:v>Demo</x:v>
      </x:c>
      <x:c r="C49" s="27" t="str">
        <x:f>'Work Breakdown'!D49</x:f>
        <x:v>Dry run + backup demo assets</x:v>
      </x:c>
      <x:c r="D49" s="27" t="str">
        <x:f>'Work Breakdown'!G49</x:f>
        <x:v>Member 1 – Architecture / DW / Backend</x:v>
      </x:c>
      <x:c r="E49" s="43" t="n">
        <x:f>'Work Breakdown'!K49</x:f>
        <x:v>46335</x:v>
      </x:c>
      <x:c r="F49" s="27" t="str">
        <x:f>'Work Breakdown'!I49</x:f>
        <x:v>P0 – Critical</x:v>
      </x:c>
      <x:c r="G49" s="27" t="str">
        <x:f>'Work Breakdown'!N49</x:f>
        <x:v>Not Started</x:v>
      </x:c>
      <x:c r="H49" s="28" t="n">
        <x:f>'Work Breakdown'!O49</x:f>
        <x:v>0</x:v>
      </x:c>
      <x:c r="I49" s="27" t="str">
        <x:f>'Work Breakdown'!P49</x:f>
        <x:v>Full demo chạy trong thời gian mục tiêu; có fallback</x:v>
      </x:c>
      <x:c r="J49" s="27" t="str">
        <x:f>'Work Breakdown'!L49</x:f>
        <x:v>QA-01; DOC-01</x:v>
      </x:c>
    </x:row>
    <x:row r="50">
      <x:c r="A50" s="27" t="str">
        <x:f>'Work Breakdown'!A50</x:f>
        <x:v>FINAL-01</x:v>
      </x:c>
      <x:c r="B50" s="27" t="str">
        <x:f>'Work Breakdown'!B50</x:f>
        <x:v>Final</x:v>
      </x:c>
      <x:c r="C50" s="27" t="str">
        <x:f>'Work Breakdown'!D50</x:f>
        <x:v>Freeze release và nộp</x:v>
      </x:c>
      <x:c r="D50" s="27" t="str">
        <x:f>'Work Breakdown'!G50</x:f>
        <x:v>All</x:v>
      </x:c>
      <x:c r="E50" s="43" t="n">
        <x:f>'Work Breakdown'!K50</x:f>
        <x:v>46336</x:v>
      </x:c>
      <x:c r="F50" s="27" t="str">
        <x:f>'Work Breakdown'!I50</x:f>
        <x:v>P0 – Critical</x:v>
      </x:c>
      <x:c r="G50" s="27" t="str">
        <x:f>'Work Breakdown'!N50</x:f>
        <x:v>Not Started</x:v>
      </x:c>
      <x:c r="H50" s="28" t="n">
        <x:f>'Work Breakdown'!O50</x:f>
        <x:v>0</x:v>
      </x:c>
      <x:c r="I50" s="27" t="str">
        <x:f>'Work Breakdown'!P50</x:f>
        <x:v>Không thêm feature mới; stable release</x:v>
      </x:c>
      <x:c r="J50" s="27" t="str">
        <x:f>'Work Breakdown'!L50</x:f>
        <x:v>DEMO-01</x:v>
      </x:c>
    </x:row>
  </x:sheetData>
  <x:conditionalFormatting sqref="G2:G50">
    <x:cfRule type="expression" dxfId="7" priority="1">
      <x:formula>G2="Done"</x:formula>
    </x:cfRule>
    <x:cfRule type="expression" dxfId="8" priority="2">
      <x:formula>G2="Blocked"</x:formula>
    </x:cfRule>
  </x:conditionalFormatting>
  <x:conditionalFormatting sqref="H2:H50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{113DCCEF-68C5-F857-9311-E61F0C67CF40}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113DCCEF-68C5-F857-9311-E61F0C67CF40}">
            <x14:dataBar gradient="1">
              <x14:cfvo type="min"/>
              <x14:cfvo type="max"/>
              <x14:fillColor rgb="FF5B9BD5"/>
            </x14:dataBar>
          </x14:cfRule>
          <xm:sqref>H2:H50</xm:sqref>
        </x14:conditionalFormatting>
      </x14:conditionalFormattings>
    </x:ext>
  </x:extLst>
</x:worksheet>
</file>